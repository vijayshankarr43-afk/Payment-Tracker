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09393b10ecf153/Desktop/projects excel/"/>
    </mc:Choice>
  </mc:AlternateContent>
  <xr:revisionPtr revIDLastSave="9" documentId="13_ncr:1_{76C4482B-0A45-4AA6-A16E-0B3ABA7AFCDD}" xr6:coauthVersionLast="47" xr6:coauthVersionMax="47" xr10:uidLastSave="{1EB0FC14-0C5E-4340-B479-6703E07B7758}"/>
  <bookViews>
    <workbookView xWindow="-110" yWindow="-110" windowWidth="19420" windowHeight="11500" tabRatio="500" xr2:uid="{00000000-000D-0000-FFFF-FFFF00000000}"/>
  </bookViews>
  <sheets>
    <sheet name="1_Payment_Log" sheetId="1" r:id="rId1"/>
    <sheet name="2_Failed_Payments" sheetId="2" r:id="rId2"/>
    <sheet name="3_Supplier_Lookup" sheetId="3" r:id="rId3"/>
    <sheet name="4_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" i="2" l="1"/>
  <c r="F14" i="4"/>
  <c r="E14" i="4"/>
  <c r="F13" i="4"/>
  <c r="E13" i="4"/>
  <c r="B13" i="4"/>
  <c r="F12" i="4"/>
  <c r="E12" i="4"/>
  <c r="B12" i="4"/>
  <c r="F11" i="4"/>
  <c r="E11" i="4"/>
  <c r="B11" i="4"/>
  <c r="F10" i="4"/>
  <c r="E10" i="4"/>
  <c r="B10" i="4"/>
  <c r="I5" i="4"/>
  <c r="G5" i="4"/>
  <c r="E5" i="4"/>
  <c r="C5" i="4"/>
  <c r="A5" i="4"/>
  <c r="G11" i="3"/>
  <c r="G10" i="3"/>
  <c r="G9" i="3"/>
  <c r="G8" i="3"/>
  <c r="G7" i="3"/>
  <c r="G6" i="3"/>
  <c r="F18" i="2"/>
  <c r="F17" i="2"/>
  <c r="F16" i="2"/>
  <c r="F15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E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<sst xmlns="http://schemas.openxmlformats.org/spreadsheetml/2006/main" count="428" uniqueCount="212">
  <si>
    <t>Payment ID</t>
  </si>
  <si>
    <t>Supplier / Employee</t>
  </si>
  <si>
    <t>Payment Type</t>
  </si>
  <si>
    <t>Invoice No.</t>
  </si>
  <si>
    <t>Invoice Amount (£)</t>
  </si>
  <si>
    <t>Due Date</t>
  </si>
  <si>
    <t>Payment Date</t>
  </si>
  <si>
    <t>Days Early/Late</t>
  </si>
  <si>
    <t>Payment Method</t>
  </si>
  <si>
    <t>Status</t>
  </si>
  <si>
    <t>Failure Reason</t>
  </si>
  <si>
    <t>Action Taken</t>
  </si>
  <si>
    <t>PAY-2025-100</t>
  </si>
  <si>
    <t>Sarah Jones (T&amp;E)</t>
  </si>
  <si>
    <t>Employee T&amp;E</t>
  </si>
  <si>
    <t>INV-40180</t>
  </si>
  <si>
    <t>CHAPS</t>
  </si>
  <si>
    <t>Paid</t>
  </si>
  <si>
    <t>PAY-2025-101</t>
  </si>
  <si>
    <t>Global Print Co.</t>
  </si>
  <si>
    <t>Supplier Invoice</t>
  </si>
  <si>
    <t>INV-79574</t>
  </si>
  <si>
    <t>Wire Transfer</t>
  </si>
  <si>
    <t>PAY-2025-102</t>
  </si>
  <si>
    <t>Catering Services</t>
  </si>
  <si>
    <t>INV-90375</t>
  </si>
  <si>
    <t>PAY-2025-103</t>
  </si>
  <si>
    <t>HR Consulting Ltd</t>
  </si>
  <si>
    <t>INV-29959</t>
  </si>
  <si>
    <t>SEPA</t>
  </si>
  <si>
    <t>PAY-2025-104</t>
  </si>
  <si>
    <t>INV-71477</t>
  </si>
  <si>
    <t>BACS</t>
  </si>
  <si>
    <t>PAY-2025-105</t>
  </si>
  <si>
    <t>John Smith (T&amp;E)</t>
  </si>
  <si>
    <t>INV-65732</t>
  </si>
  <si>
    <t>PAY-2025-106</t>
  </si>
  <si>
    <t>Facilities Mgmt</t>
  </si>
  <si>
    <t>INV-89365</t>
  </si>
  <si>
    <t>PAY-2025-107</t>
  </si>
  <si>
    <t>INV-67896</t>
  </si>
  <si>
    <t>PAY-2025-108</t>
  </si>
  <si>
    <t>INV-13054</t>
  </si>
  <si>
    <t>PAY-2025-109</t>
  </si>
  <si>
    <t>INV-28731</t>
  </si>
  <si>
    <t>PAY-2025-110</t>
  </si>
  <si>
    <t>INV-78603</t>
  </si>
  <si>
    <t>PAY-2025-111</t>
  </si>
  <si>
    <t>TechSupplies Ltd</t>
  </si>
  <si>
    <t>INV-81495</t>
  </si>
  <si>
    <t>PAY-2025-112</t>
  </si>
  <si>
    <t>INV-88599</t>
  </si>
  <si>
    <t>PAY-2025-113</t>
  </si>
  <si>
    <t>INV-28830</t>
  </si>
  <si>
    <t>PAY-2025-114</t>
  </si>
  <si>
    <t>Office Essentials</t>
  </si>
  <si>
    <t>INV-83526</t>
  </si>
  <si>
    <t>PAY-2025-115</t>
  </si>
  <si>
    <t>Maria Brown (T&amp;E)</t>
  </si>
  <si>
    <t>INV-34373</t>
  </si>
  <si>
    <t>PAY-2025-116</t>
  </si>
  <si>
    <t>David Lee (T&amp;E)</t>
  </si>
  <si>
    <t>INV-54228</t>
  </si>
  <si>
    <t>PAY-2025-117</t>
  </si>
  <si>
    <t>INV-60585</t>
  </si>
  <si>
    <t>PAY-2025-118</t>
  </si>
  <si>
    <t>INV-58889</t>
  </si>
  <si>
    <t>PAY-2025-119</t>
  </si>
  <si>
    <t>INV-95637</t>
  </si>
  <si>
    <t>PAY-2025-120</t>
  </si>
  <si>
    <t>Software Vendors Ltd</t>
  </si>
  <si>
    <t>INV-60273</t>
  </si>
  <si>
    <t>PAY-2025-121</t>
  </si>
  <si>
    <t>INV-19132</t>
  </si>
  <si>
    <t>PAY-2025-122</t>
  </si>
  <si>
    <t>Travel Agency Pro</t>
  </si>
  <si>
    <t>INV-79893</t>
  </si>
  <si>
    <t>Failed</t>
  </si>
  <si>
    <t>Currency mismatch</t>
  </si>
  <si>
    <t>FX team contacted — corrected rate applied</t>
  </si>
  <si>
    <t>PAY-2025-123</t>
  </si>
  <si>
    <t>Legal Services LLP</t>
  </si>
  <si>
    <t>INV-47000</t>
  </si>
  <si>
    <t>Duplicate invoice detected</t>
  </si>
  <si>
    <t>Flagged to AP team — invoice voided — supplier notified</t>
  </si>
  <si>
    <t>PAY-2025-124</t>
  </si>
  <si>
    <t>Tom Wilson (T&amp;E)</t>
  </si>
  <si>
    <t>INV-54151</t>
  </si>
  <si>
    <t>System processing error</t>
  </si>
  <si>
    <t>IT ticket raised — manual processing initiated</t>
  </si>
  <si>
    <t>PAY-2025-125</t>
  </si>
  <si>
    <t>INV-35333</t>
  </si>
  <si>
    <t>Invoice amount exceeds approval limit</t>
  </si>
  <si>
    <t>Sent for senior approval — awaiting sign-off</t>
  </si>
  <si>
    <t>PAY-2025-126</t>
  </si>
  <si>
    <t>INV-63509</t>
  </si>
  <si>
    <t>Missing purchase order reference</t>
  </si>
  <si>
    <t>Requested PO from procurement — resubmission pending</t>
  </si>
  <si>
    <t>PAY-2025-127</t>
  </si>
  <si>
    <t>INV-10169</t>
  </si>
  <si>
    <t>PAY-2025-128</t>
  </si>
  <si>
    <t>INV-36908</t>
  </si>
  <si>
    <t>PAY-2025-129</t>
  </si>
  <si>
    <t>INV-36251</t>
  </si>
  <si>
    <t>PAY-2025-130</t>
  </si>
  <si>
    <t>Marketing Agency X</t>
  </si>
  <si>
    <t>INV-14189</t>
  </si>
  <si>
    <t>Pending</t>
  </si>
  <si>
    <t>PAY-2025-131</t>
  </si>
  <si>
    <t>INV-92103</t>
  </si>
  <si>
    <t>PAY-2025-132</t>
  </si>
  <si>
    <t>INV-23121</t>
  </si>
  <si>
    <t>PAY-2025-133</t>
  </si>
  <si>
    <t>INV-53130</t>
  </si>
  <si>
    <t>PAY-2025-134</t>
  </si>
  <si>
    <t>IT Support Co.</t>
  </si>
  <si>
    <t>INV-83647</t>
  </si>
  <si>
    <t>PAY-2025-135</t>
  </si>
  <si>
    <t>INV-70707</t>
  </si>
  <si>
    <t>PAY-2025-136</t>
  </si>
  <si>
    <t>INV-92031</t>
  </si>
  <si>
    <t>PAY-2025-137</t>
  </si>
  <si>
    <t>INV-70276</t>
  </si>
  <si>
    <t>PAY-2025-138</t>
  </si>
  <si>
    <t>INV-74765</t>
  </si>
  <si>
    <t>On Hold</t>
  </si>
  <si>
    <t>PAY-2025-139</t>
  </si>
  <si>
    <t>INV-99211</t>
  </si>
  <si>
    <t>TOTALS / SUMMARY</t>
  </si>
  <si>
    <t>Requires immediate action  |  All failures must be resolved within 48 hours  |  Escalate to Finance Manager if unresolved</t>
  </si>
  <si>
    <t>Supplier/Employee</t>
  </si>
  <si>
    <t>Amount (£)</t>
  </si>
  <si>
    <t>Priority</t>
  </si>
  <si>
    <t>Action Required</t>
  </si>
  <si>
    <t>Owner</t>
  </si>
  <si>
    <t>Target Resolution</t>
  </si>
  <si>
    <t>MEDIUM</t>
  </si>
  <si>
    <t>Correct FX rate — reprocess payment</t>
  </si>
  <si>
    <t>V. Shankar Rai</t>
  </si>
  <si>
    <t>Within 48 hours</t>
  </si>
  <si>
    <t>Open</t>
  </si>
  <si>
    <t>Void duplicate — notify supplier — close invoice</t>
  </si>
  <si>
    <t>HIGH</t>
  </si>
  <si>
    <t>Raise IT ticket P1 — process manually if needed</t>
  </si>
  <si>
    <t>Route to senior approver — obtain sign-off urgently</t>
  </si>
  <si>
    <t>Obtain PO from procurement — resubmit within 24hrs</t>
  </si>
  <si>
    <t>EXCEPTION SUMMARY</t>
  </si>
  <si>
    <t>Total Failed Payments</t>
  </si>
  <si>
    <t>Total Value Failed (£)</t>
  </si>
  <si>
    <t>Critical Priority</t>
  </si>
  <si>
    <t>High Priority</t>
  </si>
  <si>
    <t>Enter Supplier Name in yellow cell to instantly retrieve all payment details</t>
  </si>
  <si>
    <t>SUPPLIER MASTER TABLE</t>
  </si>
  <si>
    <t>VLOOKUP LOOKUP TOOL</t>
  </si>
  <si>
    <t>Supplier Name</t>
  </si>
  <si>
    <t>Bank Sort Code</t>
  </si>
  <si>
    <t>Account Number</t>
  </si>
  <si>
    <t>Payment Terms</t>
  </si>
  <si>
    <t>Enter Supplier Name:</t>
  </si>
  <si>
    <t>20-11-33</t>
  </si>
  <si>
    <t>31245678</t>
  </si>
  <si>
    <t>Net 30</t>
  </si>
  <si>
    <t>40-22-44</t>
  </si>
  <si>
    <t>87654321</t>
  </si>
  <si>
    <t>Net 14</t>
  </si>
  <si>
    <t>30-33-55</t>
  </si>
  <si>
    <t>11223344</t>
  </si>
  <si>
    <t>CloudHost Services</t>
  </si>
  <si>
    <t>60-44-66</t>
  </si>
  <si>
    <t>55667788</t>
  </si>
  <si>
    <t>Net 7</t>
  </si>
  <si>
    <t>Total Paid (£)</t>
  </si>
  <si>
    <t>50-55-77</t>
  </si>
  <si>
    <t>99001122</t>
  </si>
  <si>
    <t>Net 45</t>
  </si>
  <si>
    <t>No. of Payments</t>
  </si>
  <si>
    <t>20-66-88</t>
  </si>
  <si>
    <t>33445566</t>
  </si>
  <si>
    <t>Failed Payments</t>
  </si>
  <si>
    <t>40-77-99</t>
  </si>
  <si>
    <t>77889900</t>
  </si>
  <si>
    <t>30-88-11</t>
  </si>
  <si>
    <t>12345099</t>
  </si>
  <si>
    <t>Change supplier name in yellow cell — all fields update automatically via VLOOKUP!</t>
  </si>
  <si>
    <t>60-99-22</t>
  </si>
  <si>
    <t>98765432</t>
  </si>
  <si>
    <t>50-11-33</t>
  </si>
  <si>
    <t>11112222</t>
  </si>
  <si>
    <t>20-22-44</t>
  </si>
  <si>
    <t>33334444</t>
  </si>
  <si>
    <t>40-33-55</t>
  </si>
  <si>
    <t>55556666</t>
  </si>
  <si>
    <t>KEY PAYMENT METRICS</t>
  </si>
  <si>
    <t>Total Payments</t>
  </si>
  <si>
    <t>✅ Paid</t>
  </si>
  <si>
    <t>⏳ Pending</t>
  </si>
  <si>
    <t>❌ Failed</t>
  </si>
  <si>
    <t>💰 Total Value</t>
  </si>
  <si>
    <t>PAYMENT STATUS BREAKDOWN  &amp;  SUPPLIER ANALYSIS</t>
  </si>
  <si>
    <t>Count</t>
  </si>
  <si>
    <t>Supplier</t>
  </si>
  <si>
    <t>No. Payments</t>
  </si>
  <si>
    <t>PAYMENT PERFORMANCE NOTES</t>
  </si>
  <si>
    <t>✅  Payment success rate above 55% — within acceptable operational threshold for March.</t>
  </si>
  <si>
    <t>🔴  8 failed payments require immediate resolution — see Sheet 2 Exception Report for actions.</t>
  </si>
  <si>
    <t>📊  VLOOKUP tool on Sheet 3 enables instant supplier bank detail verification before processing.</t>
  </si>
  <si>
    <t>📋  All failed payments logged with action owners — target resolution within 48 hours per SLA.</t>
  </si>
  <si>
    <t>Finance Operations — Payments Team  |  Period: March 2025  |  Analyst: Vijay  Shankar Rai</t>
  </si>
  <si>
    <t xml:space="preserve">  ·  Supplier &amp; Employee Payment Processing Log</t>
  </si>
  <si>
    <t xml:space="preserve">  ·  Failed Payments Exception Report — March 2025</t>
  </si>
  <si>
    <t xml:space="preserve">  ·  Supplier Payment Lookup — Using VLOOKUP</t>
  </si>
  <si>
    <t xml:space="preserve"> ·  Payment Operations Dashboard — March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</si>
</sst>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dd\-mmm\-yy"/>
    <numFmt numFmtId="166" formatCode="\£#,##0"/>
  </numFmts>
  <fonts count="2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9"/>
      <color rgb="FF276221"/>
      <name val="Arial"/>
      <family val="2"/>
    </font>
    <font>
      <b/>
      <sz val="9"/>
      <color rgb="FF9C0006"/>
      <name val="Arial"/>
      <family val="2"/>
    </font>
    <font>
      <sz val="9"/>
      <color rgb="FF9C0006"/>
      <name val="Arial"/>
      <family val="2"/>
    </font>
    <font>
      <sz val="9"/>
      <color rgb="FF00008B"/>
      <name val="Arial"/>
      <family val="2"/>
    </font>
    <font>
      <b/>
      <sz val="9"/>
      <color rgb="FF2E5FA3"/>
      <name val="Arial"/>
      <family val="2"/>
    </font>
    <font>
      <b/>
      <sz val="9"/>
      <color rgb="FF9C6500"/>
      <name val="Arial"/>
      <family val="2"/>
    </font>
    <font>
      <b/>
      <sz val="13"/>
      <color rgb="FFFFFFFF"/>
      <name val="Arial"/>
      <family val="2"/>
    </font>
    <font>
      <sz val="9"/>
      <color rgb="FF008000"/>
      <name val="Arial"/>
      <family val="2"/>
    </font>
    <font>
      <sz val="9"/>
      <color rgb="FF9C650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9C0006"/>
      <name val="Arial"/>
      <family val="2"/>
    </font>
    <font>
      <b/>
      <sz val="10"/>
      <color rgb="FF0000FF"/>
      <name val="Arial"/>
      <family val="2"/>
    </font>
    <font>
      <b/>
      <sz val="9"/>
      <color rgb="FF000000"/>
      <name val="Arial"/>
      <family val="2"/>
    </font>
    <font>
      <b/>
      <sz val="10"/>
      <color rgb="FF008000"/>
      <name val="Arial"/>
      <family val="2"/>
    </font>
    <font>
      <i/>
      <sz val="9"/>
      <color rgb="FF555555"/>
      <name val="Arial"/>
      <family val="2"/>
    </font>
    <font>
      <b/>
      <sz val="18"/>
      <color rgb="FFFFFFFF"/>
      <name val="Arial"/>
      <family val="2"/>
    </font>
    <font>
      <sz val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FA3"/>
        <bgColor rgb="FF1B4F8A"/>
      </patternFill>
    </fill>
    <fill>
      <patternFill patternType="solid">
        <fgColor rgb="FFF4F6FA"/>
        <bgColor rgb="FFF9F9F9"/>
      </patternFill>
    </fill>
    <fill>
      <patternFill patternType="solid">
        <fgColor rgb="FFC6EFC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FC7CE"/>
        <bgColor rgb="FFD9D9D9"/>
      </patternFill>
    </fill>
    <fill>
      <patternFill patternType="solid">
        <fgColor rgb="FFDDEEFF"/>
        <bgColor rgb="FFEEF4FF"/>
      </patternFill>
    </fill>
    <fill>
      <patternFill patternType="solid">
        <fgColor rgb="FFFFEB9C"/>
        <bgColor rgb="FFD9D9D9"/>
      </patternFill>
    </fill>
    <fill>
      <patternFill patternType="solid">
        <fgColor rgb="FF9C0006"/>
        <bgColor rgb="FF8B0000"/>
      </patternFill>
    </fill>
    <fill>
      <patternFill patternType="solid">
        <fgColor rgb="FF8B0000"/>
        <bgColor rgb="FF9C0006"/>
      </patternFill>
    </fill>
    <fill>
      <patternFill patternType="solid">
        <fgColor rgb="FFEEF4FF"/>
        <bgColor rgb="FFF4F6FA"/>
      </patternFill>
    </fill>
    <fill>
      <patternFill patternType="solid">
        <fgColor rgb="FF00A89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276221"/>
        <bgColor rgb="FF555555"/>
      </patternFill>
    </fill>
    <fill>
      <patternFill patternType="solid">
        <fgColor rgb="FF1B4F8A"/>
        <bgColor rgb="FF2E5FA3"/>
      </patternFill>
    </fill>
  </fills>
  <borders count="4">
    <border>
      <left/>
      <right/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  <border>
      <left style="thin">
        <color rgb="FFC5CDD9"/>
      </left>
      <right/>
      <top style="thin">
        <color rgb="FFC5CDD9"/>
      </top>
      <bottom style="thin">
        <color rgb="FFC5CDD9"/>
      </bottom>
      <diagonal/>
    </border>
    <border>
      <left style="thin">
        <color rgb="FFC5CDD9"/>
      </left>
      <right/>
      <top style="thin">
        <color rgb="FFC5CDD9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11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64" fontId="12" fillId="6" borderId="1" xfId="0" applyNumberFormat="1" applyFont="1" applyFill="1" applyBorder="1" applyAlignment="1">
      <alignment horizontal="center" vertical="center"/>
    </xf>
    <xf numFmtId="165" fontId="12" fillId="6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indent="1"/>
    </xf>
    <xf numFmtId="0" fontId="18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 indent="1"/>
    </xf>
    <xf numFmtId="0" fontId="15" fillId="4" borderId="2" xfId="0" applyFont="1" applyFill="1" applyBorder="1" applyAlignment="1">
      <alignment horizontal="left" vertical="center" indent="1"/>
    </xf>
    <xf numFmtId="1" fontId="16" fillId="7" borderId="2" xfId="0" applyNumberFormat="1" applyFont="1" applyFill="1" applyBorder="1" applyAlignment="1">
      <alignment horizontal="center" vertical="center"/>
    </xf>
    <xf numFmtId="164" fontId="16" fillId="7" borderId="2" xfId="0" applyNumberFormat="1" applyFont="1" applyFill="1" applyBorder="1" applyAlignment="1">
      <alignment horizontal="center" vertical="center"/>
    </xf>
    <xf numFmtId="0" fontId="14" fillId="13" borderId="0" xfId="0" applyFont="1" applyFill="1" applyAlignment="1">
      <alignment horizontal="left" vertical="center" indent="1"/>
    </xf>
    <xf numFmtId="0" fontId="17" fillId="14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3" fontId="21" fillId="3" borderId="3" xfId="0" applyNumberFormat="1" applyFont="1" applyFill="1" applyBorder="1" applyAlignment="1">
      <alignment horizontal="center" vertical="center"/>
    </xf>
    <xf numFmtId="3" fontId="21" fillId="15" borderId="3" xfId="0" applyNumberFormat="1" applyFont="1" applyFill="1" applyBorder="1" applyAlignment="1">
      <alignment horizontal="center" vertical="center"/>
    </xf>
    <xf numFmtId="3" fontId="21" fillId="16" borderId="3" xfId="0" applyNumberFormat="1" applyFont="1" applyFill="1" applyBorder="1" applyAlignment="1">
      <alignment horizontal="center" vertical="center"/>
    </xf>
    <xf numFmtId="3" fontId="21" fillId="10" borderId="3" xfId="0" applyNumberFormat="1" applyFont="1" applyFill="1" applyBorder="1" applyAlignment="1">
      <alignment horizontal="center" vertical="center"/>
    </xf>
    <xf numFmtId="166" fontId="21" fillId="13" borderId="3" xfId="0" applyNumberFormat="1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left" vertical="center" indent="1"/>
    </xf>
    <xf numFmtId="0" fontId="22" fillId="4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9C6500"/>
      <rgbColor rgb="FF800080"/>
      <rgbColor rgb="FF00A896"/>
      <rgbColor rgb="FFD9D9D9"/>
      <rgbColor rgb="FF878787"/>
      <rgbColor rgb="FF9999FF"/>
      <rgbColor rgb="FFC0504D"/>
      <rgbColor rgb="FFF9F9F9"/>
      <rgbColor rgb="FFDDEEFF"/>
      <rgbColor rgb="FF660066"/>
      <rgbColor rgb="FFFF8080"/>
      <rgbColor rgb="FF2E5FA3"/>
      <rgbColor rgb="FFC5CD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EEF4FF"/>
      <rgbColor rgb="FFC6EFCE"/>
      <rgbColor rgb="FFFFEB9C"/>
      <rgbColor rgb="FFF4F6FA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276221"/>
      <rgbColor rgb="FF993300"/>
      <rgbColor rgb="FF555555"/>
      <rgbColor rgb="FF1B4F8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Payment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'4_Dashboard'!$B$9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1DE-46C6-B5E8-079C2BD15ED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1DE-46C6-B5E8-079C2BD15ED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1DE-46C6-B5E8-079C2BD15ED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1DE-46C6-B5E8-079C2BD15ED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DE-46C6-B5E8-079C2BD15ED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DE-46C6-B5E8-079C2BD15ED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DE-46C6-B5E8-079C2BD15ED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DE-46C6-B5E8-079C2BD15E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'4_Dashboard'!$A$10:$A$13</c:f>
              <c:strCache>
                <c:ptCount val="4"/>
                <c:pt idx="0">
                  <c:v>Paid</c:v>
                </c:pt>
                <c:pt idx="1">
                  <c:v>Pending</c:v>
                </c:pt>
                <c:pt idx="2">
                  <c:v>Failed</c:v>
                </c:pt>
                <c:pt idx="3">
                  <c:v>On Hold</c:v>
                </c:pt>
              </c:strCache>
            </c:strRef>
          </c:cat>
          <c:val>
            <c:numRef>
              <c:f>'4_Dashboard'!$B$10:$B$13</c:f>
              <c:numCache>
                <c:formatCode>#,##0</c:formatCode>
                <c:ptCount val="4"/>
                <c:pt idx="0">
                  <c:v>22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DE-46C6-B5E8-079C2BD1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Supplier Payments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'4_Dashboard'!$E$9</c:f>
              <c:strCache>
                <c:ptCount val="1"/>
                <c:pt idx="0">
                  <c:v>Total Paid (£)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'4_Dashboard'!$D$10:$D$14</c:f>
              <c:strCache>
                <c:ptCount val="5"/>
                <c:pt idx="0">
                  <c:v>TechSupplies Ltd</c:v>
                </c:pt>
                <c:pt idx="1">
                  <c:v>Global Print Co.</c:v>
                </c:pt>
                <c:pt idx="2">
                  <c:v>Office Essentials</c:v>
                </c:pt>
                <c:pt idx="3">
                  <c:v>CloudHost Services</c:v>
                </c:pt>
                <c:pt idx="4">
                  <c:v>Marketing Agency X</c:v>
                </c:pt>
              </c:strCache>
            </c:strRef>
          </c:cat>
          <c:val>
            <c:numRef>
              <c:f>'4_Dashboard'!$E$10:$E$14</c:f>
              <c:numCache>
                <c:formatCode>\£#,##0.00</c:formatCode>
                <c:ptCount val="5"/>
                <c:pt idx="0">
                  <c:v>5000</c:v>
                </c:pt>
                <c:pt idx="1">
                  <c:v>14200</c:v>
                </c:pt>
                <c:pt idx="2">
                  <c:v>4500</c:v>
                </c:pt>
                <c:pt idx="3">
                  <c:v>0</c:v>
                </c:pt>
                <c:pt idx="4">
                  <c:v>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A-4220-9E68-E72BDBAD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379476"/>
        <c:axId val="14138985"/>
      </c:barChart>
      <c:catAx>
        <c:axId val="48379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138985"/>
        <c:crosses val="autoZero"/>
        <c:auto val="1"/>
        <c:lblAlgn val="ctr"/>
        <c:lblOffset val="100"/>
        <c:noMultiLvlLbl val="0"/>
      </c:catAx>
      <c:valAx>
        <c:axId val="14138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79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228600</xdr:colOff>
      <xdr:row>8</xdr:row>
      <xdr:rowOff>133350</xdr:rowOff>
    </xdr:from>
    <xdr:to>
      <xdr:col>24</xdr:col>
      <xdr:colOff>397939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190500</xdr:colOff>
      <xdr:row>8</xdr:row>
      <xdr:rowOff>82550</xdr:rowOff>
    </xdr:from>
    <xdr:to>
      <xdr:col>15</xdr:col>
      <xdr:colOff>494280</xdr:colOff>
      <xdr:row>29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L44"/>
  <sheetViews>
    <sheetView showGridLines="0" tabSelected="1" zoomScale="93" zoomScaleNormal="100" workbookViewId="0">
      <pane ySplit="3" topLeftCell="A40" activePane="bottomLeft" state="frozen"/>
      <selection pane="bottomLeft" sqref="A1:L1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6" customWidth="1"/>
    <col min="4" max="4" width="13" customWidth="1"/>
    <col min="5" max="5" width="16" customWidth="1"/>
    <col min="6" max="6" width="12" customWidth="1"/>
    <col min="7" max="7" width="13" customWidth="1"/>
    <col min="8" max="8" width="12" customWidth="1"/>
    <col min="9" max="9" width="14" customWidth="1"/>
    <col min="10" max="10" width="11" customWidth="1"/>
    <col min="11" max="11" width="26" customWidth="1"/>
    <col min="12" max="12" width="32" customWidth="1"/>
  </cols>
  <sheetData>
    <row r="1" spans="1:12" ht="27.75" customHeight="1" x14ac:dyDescent="0.35">
      <c r="A1" s="47" t="s">
        <v>208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5.75" customHeight="1" x14ac:dyDescent="0.35">
      <c r="A2" s="48" t="s">
        <v>207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7.75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8" customHeight="1" x14ac:dyDescent="0.35">
      <c r="A4" s="2" t="s">
        <v>12</v>
      </c>
      <c r="B4" s="3" t="s">
        <v>13</v>
      </c>
      <c r="C4" s="2" t="s">
        <v>14</v>
      </c>
      <c r="D4" s="2" t="s">
        <v>15</v>
      </c>
      <c r="E4" s="4">
        <v>1800</v>
      </c>
      <c r="F4" s="5">
        <v>45737</v>
      </c>
      <c r="G4" s="5">
        <v>45736</v>
      </c>
      <c r="H4" s="6">
        <f t="shared" ref="H4:H43" si="0">IFERROR(G4-F4,"-")</f>
        <v>-1</v>
      </c>
      <c r="I4" s="2" t="s">
        <v>16</v>
      </c>
      <c r="J4" s="7" t="s">
        <v>17</v>
      </c>
      <c r="K4" s="8"/>
      <c r="L4" s="8"/>
    </row>
    <row r="5" spans="1:12" ht="18" customHeight="1" x14ac:dyDescent="0.35">
      <c r="A5" s="9" t="s">
        <v>18</v>
      </c>
      <c r="B5" s="10" t="s">
        <v>19</v>
      </c>
      <c r="C5" s="9" t="s">
        <v>20</v>
      </c>
      <c r="D5" s="9" t="s">
        <v>21</v>
      </c>
      <c r="E5" s="11">
        <v>2500</v>
      </c>
      <c r="F5" s="12">
        <v>45741</v>
      </c>
      <c r="G5" s="12">
        <v>45738</v>
      </c>
      <c r="H5" s="13">
        <f t="shared" si="0"/>
        <v>-3</v>
      </c>
      <c r="I5" s="9" t="s">
        <v>22</v>
      </c>
      <c r="J5" s="7" t="s">
        <v>17</v>
      </c>
      <c r="K5" s="14"/>
      <c r="L5" s="14"/>
    </row>
    <row r="6" spans="1:12" ht="18" customHeight="1" x14ac:dyDescent="0.35">
      <c r="A6" s="2" t="s">
        <v>23</v>
      </c>
      <c r="B6" s="3" t="s">
        <v>24</v>
      </c>
      <c r="C6" s="2" t="s">
        <v>20</v>
      </c>
      <c r="D6" s="2" t="s">
        <v>25</v>
      </c>
      <c r="E6" s="4">
        <v>6000</v>
      </c>
      <c r="F6" s="5">
        <v>45724</v>
      </c>
      <c r="G6" s="5">
        <v>45721</v>
      </c>
      <c r="H6" s="6">
        <f t="shared" si="0"/>
        <v>-3</v>
      </c>
      <c r="I6" s="2" t="s">
        <v>22</v>
      </c>
      <c r="J6" s="7" t="s">
        <v>17</v>
      </c>
      <c r="K6" s="8"/>
      <c r="L6" s="8"/>
    </row>
    <row r="7" spans="1:12" ht="18" customHeight="1" x14ac:dyDescent="0.35">
      <c r="A7" s="9" t="s">
        <v>26</v>
      </c>
      <c r="B7" s="10" t="s">
        <v>27</v>
      </c>
      <c r="C7" s="9" t="s">
        <v>20</v>
      </c>
      <c r="D7" s="9" t="s">
        <v>28</v>
      </c>
      <c r="E7" s="11">
        <v>4500</v>
      </c>
      <c r="F7" s="12">
        <v>45745</v>
      </c>
      <c r="G7" s="12">
        <v>45744</v>
      </c>
      <c r="H7" s="13">
        <f t="shared" si="0"/>
        <v>-1</v>
      </c>
      <c r="I7" s="9" t="s">
        <v>29</v>
      </c>
      <c r="J7" s="7" t="s">
        <v>17</v>
      </c>
      <c r="K7" s="14"/>
      <c r="L7" s="14"/>
    </row>
    <row r="8" spans="1:12" ht="18" customHeight="1" x14ac:dyDescent="0.35">
      <c r="A8" s="2" t="s">
        <v>30</v>
      </c>
      <c r="B8" s="3" t="s">
        <v>24</v>
      </c>
      <c r="C8" s="2" t="s">
        <v>20</v>
      </c>
      <c r="D8" s="2" t="s">
        <v>31</v>
      </c>
      <c r="E8" s="4">
        <v>3200</v>
      </c>
      <c r="F8" s="5">
        <v>45720</v>
      </c>
      <c r="G8" s="5">
        <v>45720</v>
      </c>
      <c r="H8" s="6">
        <f t="shared" si="0"/>
        <v>0</v>
      </c>
      <c r="I8" s="2" t="s">
        <v>32</v>
      </c>
      <c r="J8" s="7" t="s">
        <v>17</v>
      </c>
      <c r="K8" s="8"/>
      <c r="L8" s="8"/>
    </row>
    <row r="9" spans="1:12" ht="18" customHeight="1" x14ac:dyDescent="0.35">
      <c r="A9" s="9" t="s">
        <v>33</v>
      </c>
      <c r="B9" s="10" t="s">
        <v>34</v>
      </c>
      <c r="C9" s="9" t="s">
        <v>14</v>
      </c>
      <c r="D9" s="9" t="s">
        <v>35</v>
      </c>
      <c r="E9" s="11">
        <v>2500</v>
      </c>
      <c r="F9" s="12">
        <v>45735</v>
      </c>
      <c r="G9" s="12">
        <v>45735</v>
      </c>
      <c r="H9" s="13">
        <f t="shared" si="0"/>
        <v>0</v>
      </c>
      <c r="I9" s="9" t="s">
        <v>16</v>
      </c>
      <c r="J9" s="7" t="s">
        <v>17</v>
      </c>
      <c r="K9" s="14"/>
      <c r="L9" s="14"/>
    </row>
    <row r="10" spans="1:12" ht="18" customHeight="1" x14ac:dyDescent="0.35">
      <c r="A10" s="2" t="s">
        <v>36</v>
      </c>
      <c r="B10" s="3" t="s">
        <v>37</v>
      </c>
      <c r="C10" s="2" t="s">
        <v>20</v>
      </c>
      <c r="D10" s="2" t="s">
        <v>38</v>
      </c>
      <c r="E10" s="4">
        <v>750</v>
      </c>
      <c r="F10" s="5">
        <v>45732</v>
      </c>
      <c r="G10" s="5">
        <v>45731</v>
      </c>
      <c r="H10" s="6">
        <f t="shared" si="0"/>
        <v>-1</v>
      </c>
      <c r="I10" s="2" t="s">
        <v>29</v>
      </c>
      <c r="J10" s="7" t="s">
        <v>17</v>
      </c>
      <c r="K10" s="8"/>
      <c r="L10" s="8"/>
    </row>
    <row r="11" spans="1:12" ht="18" customHeight="1" x14ac:dyDescent="0.35">
      <c r="A11" s="9" t="s">
        <v>39</v>
      </c>
      <c r="B11" s="10" t="s">
        <v>27</v>
      </c>
      <c r="C11" s="9" t="s">
        <v>20</v>
      </c>
      <c r="D11" s="9" t="s">
        <v>40</v>
      </c>
      <c r="E11" s="11">
        <v>1200</v>
      </c>
      <c r="F11" s="12">
        <v>45724</v>
      </c>
      <c r="G11" s="12">
        <v>45723</v>
      </c>
      <c r="H11" s="13">
        <f t="shared" si="0"/>
        <v>-1</v>
      </c>
      <c r="I11" s="9" t="s">
        <v>22</v>
      </c>
      <c r="J11" s="7" t="s">
        <v>17</v>
      </c>
      <c r="K11" s="14"/>
      <c r="L11" s="14"/>
    </row>
    <row r="12" spans="1:12" ht="18" customHeight="1" x14ac:dyDescent="0.35">
      <c r="A12" s="2" t="s">
        <v>41</v>
      </c>
      <c r="B12" s="3" t="s">
        <v>37</v>
      </c>
      <c r="C12" s="2" t="s">
        <v>20</v>
      </c>
      <c r="D12" s="2" t="s">
        <v>42</v>
      </c>
      <c r="E12" s="4">
        <v>1200</v>
      </c>
      <c r="F12" s="5">
        <v>45719</v>
      </c>
      <c r="G12" s="5">
        <v>45719</v>
      </c>
      <c r="H12" s="6">
        <f t="shared" si="0"/>
        <v>0</v>
      </c>
      <c r="I12" s="2" t="s">
        <v>16</v>
      </c>
      <c r="J12" s="7" t="s">
        <v>17</v>
      </c>
      <c r="K12" s="8"/>
      <c r="L12" s="8"/>
    </row>
    <row r="13" spans="1:12" ht="18" customHeight="1" x14ac:dyDescent="0.35">
      <c r="A13" s="9" t="s">
        <v>43</v>
      </c>
      <c r="B13" s="10" t="s">
        <v>13</v>
      </c>
      <c r="C13" s="9" t="s">
        <v>14</v>
      </c>
      <c r="D13" s="9" t="s">
        <v>44</v>
      </c>
      <c r="E13" s="11">
        <v>750</v>
      </c>
      <c r="F13" s="12">
        <v>45731</v>
      </c>
      <c r="G13" s="12">
        <v>45731</v>
      </c>
      <c r="H13" s="13">
        <f t="shared" si="0"/>
        <v>0</v>
      </c>
      <c r="I13" s="9" t="s">
        <v>32</v>
      </c>
      <c r="J13" s="7" t="s">
        <v>17</v>
      </c>
      <c r="K13" s="14"/>
      <c r="L13" s="14"/>
    </row>
    <row r="14" spans="1:12" ht="18" customHeight="1" x14ac:dyDescent="0.35">
      <c r="A14" s="2" t="s">
        <v>45</v>
      </c>
      <c r="B14" s="3" t="s">
        <v>34</v>
      </c>
      <c r="C14" s="2" t="s">
        <v>14</v>
      </c>
      <c r="D14" s="2" t="s">
        <v>46</v>
      </c>
      <c r="E14" s="4">
        <v>4500</v>
      </c>
      <c r="F14" s="5">
        <v>45728</v>
      </c>
      <c r="G14" s="5">
        <v>45727</v>
      </c>
      <c r="H14" s="6">
        <f t="shared" si="0"/>
        <v>-1</v>
      </c>
      <c r="I14" s="2" t="s">
        <v>29</v>
      </c>
      <c r="J14" s="7" t="s">
        <v>17</v>
      </c>
      <c r="K14" s="8"/>
      <c r="L14" s="8"/>
    </row>
    <row r="15" spans="1:12" ht="18" customHeight="1" x14ac:dyDescent="0.35">
      <c r="A15" s="9" t="s">
        <v>47</v>
      </c>
      <c r="B15" s="10" t="s">
        <v>48</v>
      </c>
      <c r="C15" s="9" t="s">
        <v>20</v>
      </c>
      <c r="D15" s="9" t="s">
        <v>49</v>
      </c>
      <c r="E15" s="11">
        <v>1800</v>
      </c>
      <c r="F15" s="12">
        <v>45732</v>
      </c>
      <c r="G15" s="12">
        <v>45730</v>
      </c>
      <c r="H15" s="13">
        <f t="shared" si="0"/>
        <v>-2</v>
      </c>
      <c r="I15" s="9" t="s">
        <v>29</v>
      </c>
      <c r="J15" s="7" t="s">
        <v>17</v>
      </c>
      <c r="K15" s="14"/>
      <c r="L15" s="14"/>
    </row>
    <row r="16" spans="1:12" ht="18" customHeight="1" x14ac:dyDescent="0.35">
      <c r="A16" s="2" t="s">
        <v>50</v>
      </c>
      <c r="B16" s="3" t="s">
        <v>27</v>
      </c>
      <c r="C16" s="2" t="s">
        <v>20</v>
      </c>
      <c r="D16" s="2" t="s">
        <v>51</v>
      </c>
      <c r="E16" s="4">
        <v>6000</v>
      </c>
      <c r="F16" s="5">
        <v>45719</v>
      </c>
      <c r="G16" s="5">
        <v>45718</v>
      </c>
      <c r="H16" s="6">
        <f t="shared" si="0"/>
        <v>-1</v>
      </c>
      <c r="I16" s="2" t="s">
        <v>16</v>
      </c>
      <c r="J16" s="7" t="s">
        <v>17</v>
      </c>
      <c r="K16" s="8"/>
      <c r="L16" s="8"/>
    </row>
    <row r="17" spans="1:12" ht="18" customHeight="1" x14ac:dyDescent="0.35">
      <c r="A17" s="9" t="s">
        <v>52</v>
      </c>
      <c r="B17" s="10" t="s">
        <v>13</v>
      </c>
      <c r="C17" s="9" t="s">
        <v>14</v>
      </c>
      <c r="D17" s="9" t="s">
        <v>53</v>
      </c>
      <c r="E17" s="11">
        <v>750</v>
      </c>
      <c r="F17" s="12">
        <v>45721</v>
      </c>
      <c r="G17" s="12">
        <v>45721</v>
      </c>
      <c r="H17" s="13">
        <f t="shared" si="0"/>
        <v>0</v>
      </c>
      <c r="I17" s="9" t="s">
        <v>32</v>
      </c>
      <c r="J17" s="7" t="s">
        <v>17</v>
      </c>
      <c r="K17" s="14"/>
      <c r="L17" s="14"/>
    </row>
    <row r="18" spans="1:12" ht="18" customHeight="1" x14ac:dyDescent="0.35">
      <c r="A18" s="2" t="s">
        <v>54</v>
      </c>
      <c r="B18" s="3" t="s">
        <v>55</v>
      </c>
      <c r="C18" s="2" t="s">
        <v>20</v>
      </c>
      <c r="D18" s="2" t="s">
        <v>56</v>
      </c>
      <c r="E18" s="4">
        <v>4500</v>
      </c>
      <c r="F18" s="5">
        <v>45722</v>
      </c>
      <c r="G18" s="5">
        <v>45721</v>
      </c>
      <c r="H18" s="6">
        <f t="shared" si="0"/>
        <v>-1</v>
      </c>
      <c r="I18" s="2" t="s">
        <v>32</v>
      </c>
      <c r="J18" s="7" t="s">
        <v>17</v>
      </c>
      <c r="K18" s="8"/>
      <c r="L18" s="8"/>
    </row>
    <row r="19" spans="1:12" ht="18" customHeight="1" x14ac:dyDescent="0.35">
      <c r="A19" s="9" t="s">
        <v>57</v>
      </c>
      <c r="B19" s="10" t="s">
        <v>58</v>
      </c>
      <c r="C19" s="9" t="s">
        <v>14</v>
      </c>
      <c r="D19" s="9" t="s">
        <v>59</v>
      </c>
      <c r="E19" s="11">
        <v>2500</v>
      </c>
      <c r="F19" s="12">
        <v>45721</v>
      </c>
      <c r="G19" s="12">
        <v>45719</v>
      </c>
      <c r="H19" s="13">
        <f t="shared" si="0"/>
        <v>-2</v>
      </c>
      <c r="I19" s="9" t="s">
        <v>32</v>
      </c>
      <c r="J19" s="7" t="s">
        <v>17</v>
      </c>
      <c r="K19" s="14"/>
      <c r="L19" s="14"/>
    </row>
    <row r="20" spans="1:12" ht="18" customHeight="1" x14ac:dyDescent="0.35">
      <c r="A20" s="2" t="s">
        <v>60</v>
      </c>
      <c r="B20" s="3" t="s">
        <v>61</v>
      </c>
      <c r="C20" s="2" t="s">
        <v>14</v>
      </c>
      <c r="D20" s="2" t="s">
        <v>62</v>
      </c>
      <c r="E20" s="4">
        <v>500</v>
      </c>
      <c r="F20" s="5">
        <v>45736</v>
      </c>
      <c r="G20" s="5">
        <v>45736</v>
      </c>
      <c r="H20" s="6">
        <f t="shared" si="0"/>
        <v>0</v>
      </c>
      <c r="I20" s="2" t="s">
        <v>16</v>
      </c>
      <c r="J20" s="7" t="s">
        <v>17</v>
      </c>
      <c r="K20" s="8"/>
      <c r="L20" s="8"/>
    </row>
    <row r="21" spans="1:12" ht="18" customHeight="1" x14ac:dyDescent="0.35">
      <c r="A21" s="9" t="s">
        <v>63</v>
      </c>
      <c r="B21" s="10" t="s">
        <v>13</v>
      </c>
      <c r="C21" s="9" t="s">
        <v>14</v>
      </c>
      <c r="D21" s="9" t="s">
        <v>64</v>
      </c>
      <c r="E21" s="11">
        <v>3200</v>
      </c>
      <c r="F21" s="12">
        <v>45744</v>
      </c>
      <c r="G21" s="12">
        <v>45741</v>
      </c>
      <c r="H21" s="13">
        <f t="shared" si="0"/>
        <v>-3</v>
      </c>
      <c r="I21" s="9" t="s">
        <v>29</v>
      </c>
      <c r="J21" s="7" t="s">
        <v>17</v>
      </c>
      <c r="K21" s="14"/>
      <c r="L21" s="14"/>
    </row>
    <row r="22" spans="1:12" ht="18" customHeight="1" x14ac:dyDescent="0.35">
      <c r="A22" s="2" t="s">
        <v>65</v>
      </c>
      <c r="B22" s="3" t="s">
        <v>37</v>
      </c>
      <c r="C22" s="2" t="s">
        <v>20</v>
      </c>
      <c r="D22" s="2" t="s">
        <v>66</v>
      </c>
      <c r="E22" s="4">
        <v>750</v>
      </c>
      <c r="F22" s="5">
        <v>45723</v>
      </c>
      <c r="G22" s="5">
        <v>45723</v>
      </c>
      <c r="H22" s="6">
        <f t="shared" si="0"/>
        <v>0</v>
      </c>
      <c r="I22" s="2" t="s">
        <v>29</v>
      </c>
      <c r="J22" s="7" t="s">
        <v>17</v>
      </c>
      <c r="K22" s="8"/>
      <c r="L22" s="8"/>
    </row>
    <row r="23" spans="1:12" ht="18" customHeight="1" x14ac:dyDescent="0.35">
      <c r="A23" s="9" t="s">
        <v>67</v>
      </c>
      <c r="B23" s="10" t="s">
        <v>58</v>
      </c>
      <c r="C23" s="9" t="s">
        <v>14</v>
      </c>
      <c r="D23" s="9" t="s">
        <v>68</v>
      </c>
      <c r="E23" s="11">
        <v>2500</v>
      </c>
      <c r="F23" s="12">
        <v>45745</v>
      </c>
      <c r="G23" s="12">
        <v>45744</v>
      </c>
      <c r="H23" s="13">
        <f t="shared" si="0"/>
        <v>-1</v>
      </c>
      <c r="I23" s="9" t="s">
        <v>32</v>
      </c>
      <c r="J23" s="7" t="s">
        <v>17</v>
      </c>
      <c r="K23" s="14"/>
      <c r="L23" s="14"/>
    </row>
    <row r="24" spans="1:12" ht="18" customHeight="1" x14ac:dyDescent="0.35">
      <c r="A24" s="2" t="s">
        <v>69</v>
      </c>
      <c r="B24" s="3" t="s">
        <v>70</v>
      </c>
      <c r="C24" s="2" t="s">
        <v>20</v>
      </c>
      <c r="D24" s="2" t="s">
        <v>71</v>
      </c>
      <c r="E24" s="4">
        <v>3200</v>
      </c>
      <c r="F24" s="5">
        <v>45724</v>
      </c>
      <c r="G24" s="5">
        <v>45723</v>
      </c>
      <c r="H24" s="6">
        <f t="shared" si="0"/>
        <v>-1</v>
      </c>
      <c r="I24" s="2" t="s">
        <v>32</v>
      </c>
      <c r="J24" s="7" t="s">
        <v>17</v>
      </c>
      <c r="K24" s="8"/>
      <c r="L24" s="8"/>
    </row>
    <row r="25" spans="1:12" ht="18" customHeight="1" x14ac:dyDescent="0.35">
      <c r="A25" s="9" t="s">
        <v>72</v>
      </c>
      <c r="B25" s="10" t="s">
        <v>34</v>
      </c>
      <c r="C25" s="9" t="s">
        <v>14</v>
      </c>
      <c r="D25" s="9" t="s">
        <v>73</v>
      </c>
      <c r="E25" s="11">
        <v>6000</v>
      </c>
      <c r="F25" s="12">
        <v>45731</v>
      </c>
      <c r="G25" s="12">
        <v>45729</v>
      </c>
      <c r="H25" s="13">
        <f t="shared" si="0"/>
        <v>-2</v>
      </c>
      <c r="I25" s="9" t="s">
        <v>22</v>
      </c>
      <c r="J25" s="7" t="s">
        <v>17</v>
      </c>
      <c r="K25" s="14"/>
      <c r="L25" s="14"/>
    </row>
    <row r="26" spans="1:12" ht="18" customHeight="1" x14ac:dyDescent="0.35">
      <c r="A26" s="2" t="s">
        <v>74</v>
      </c>
      <c r="B26" s="3" t="s">
        <v>75</v>
      </c>
      <c r="C26" s="2" t="s">
        <v>20</v>
      </c>
      <c r="D26" s="2" t="s">
        <v>76</v>
      </c>
      <c r="E26" s="4">
        <v>3200</v>
      </c>
      <c r="F26" s="5">
        <v>45743</v>
      </c>
      <c r="G26" s="5"/>
      <c r="H26" s="6">
        <f t="shared" si="0"/>
        <v>-45743</v>
      </c>
      <c r="I26" s="2" t="s">
        <v>16</v>
      </c>
      <c r="J26" s="15" t="s">
        <v>77</v>
      </c>
      <c r="K26" s="16" t="s">
        <v>78</v>
      </c>
      <c r="L26" s="17" t="s">
        <v>79</v>
      </c>
    </row>
    <row r="27" spans="1:12" ht="18" customHeight="1" x14ac:dyDescent="0.35">
      <c r="A27" s="9" t="s">
        <v>80</v>
      </c>
      <c r="B27" s="10" t="s">
        <v>81</v>
      </c>
      <c r="C27" s="9" t="s">
        <v>20</v>
      </c>
      <c r="D27" s="9" t="s">
        <v>82</v>
      </c>
      <c r="E27" s="11">
        <v>2500</v>
      </c>
      <c r="F27" s="12">
        <v>45731</v>
      </c>
      <c r="G27" s="12"/>
      <c r="H27" s="13">
        <f t="shared" si="0"/>
        <v>-45731</v>
      </c>
      <c r="I27" s="9" t="s">
        <v>29</v>
      </c>
      <c r="J27" s="15" t="s">
        <v>77</v>
      </c>
      <c r="K27" s="18" t="s">
        <v>83</v>
      </c>
      <c r="L27" s="19" t="s">
        <v>84</v>
      </c>
    </row>
    <row r="28" spans="1:12" ht="18" customHeight="1" x14ac:dyDescent="0.35">
      <c r="A28" s="2" t="s">
        <v>85</v>
      </c>
      <c r="B28" s="3" t="s">
        <v>86</v>
      </c>
      <c r="C28" s="2" t="s">
        <v>14</v>
      </c>
      <c r="D28" s="2" t="s">
        <v>87</v>
      </c>
      <c r="E28" s="4">
        <v>6000</v>
      </c>
      <c r="F28" s="5">
        <v>45724</v>
      </c>
      <c r="G28" s="5"/>
      <c r="H28" s="6">
        <f t="shared" si="0"/>
        <v>-45724</v>
      </c>
      <c r="I28" s="2" t="s">
        <v>16</v>
      </c>
      <c r="J28" s="15" t="s">
        <v>77</v>
      </c>
      <c r="K28" s="16" t="s">
        <v>88</v>
      </c>
      <c r="L28" s="17" t="s">
        <v>89</v>
      </c>
    </row>
    <row r="29" spans="1:12" ht="18" customHeight="1" x14ac:dyDescent="0.35">
      <c r="A29" s="9" t="s">
        <v>90</v>
      </c>
      <c r="B29" s="10" t="s">
        <v>48</v>
      </c>
      <c r="C29" s="9" t="s">
        <v>20</v>
      </c>
      <c r="D29" s="9" t="s">
        <v>91</v>
      </c>
      <c r="E29" s="11">
        <v>3200</v>
      </c>
      <c r="F29" s="12">
        <v>45740</v>
      </c>
      <c r="G29" s="12"/>
      <c r="H29" s="13">
        <f t="shared" si="0"/>
        <v>-45740</v>
      </c>
      <c r="I29" s="9" t="s">
        <v>16</v>
      </c>
      <c r="J29" s="15" t="s">
        <v>77</v>
      </c>
      <c r="K29" s="18" t="s">
        <v>92</v>
      </c>
      <c r="L29" s="19" t="s">
        <v>93</v>
      </c>
    </row>
    <row r="30" spans="1:12" ht="18" customHeight="1" x14ac:dyDescent="0.35">
      <c r="A30" s="2" t="s">
        <v>94</v>
      </c>
      <c r="B30" s="3" t="s">
        <v>75</v>
      </c>
      <c r="C30" s="2" t="s">
        <v>20</v>
      </c>
      <c r="D30" s="2" t="s">
        <v>95</v>
      </c>
      <c r="E30" s="4">
        <v>4500</v>
      </c>
      <c r="F30" s="5">
        <v>45741</v>
      </c>
      <c r="G30" s="5"/>
      <c r="H30" s="6">
        <f t="shared" si="0"/>
        <v>-45741</v>
      </c>
      <c r="I30" s="2" t="s">
        <v>32</v>
      </c>
      <c r="J30" s="15" t="s">
        <v>77</v>
      </c>
      <c r="K30" s="16" t="s">
        <v>96</v>
      </c>
      <c r="L30" s="17" t="s">
        <v>97</v>
      </c>
    </row>
    <row r="31" spans="1:12" ht="18" customHeight="1" x14ac:dyDescent="0.35">
      <c r="A31" s="9" t="s">
        <v>98</v>
      </c>
      <c r="B31" s="10" t="s">
        <v>34</v>
      </c>
      <c r="C31" s="9" t="s">
        <v>14</v>
      </c>
      <c r="D31" s="9" t="s">
        <v>99</v>
      </c>
      <c r="E31" s="11">
        <v>750</v>
      </c>
      <c r="F31" s="12">
        <v>45734</v>
      </c>
      <c r="G31" s="12"/>
      <c r="H31" s="13">
        <f t="shared" si="0"/>
        <v>-45734</v>
      </c>
      <c r="I31" s="9" t="s">
        <v>22</v>
      </c>
      <c r="J31" s="15" t="s">
        <v>77</v>
      </c>
      <c r="K31" s="18" t="s">
        <v>96</v>
      </c>
      <c r="L31" s="19" t="s">
        <v>97</v>
      </c>
    </row>
    <row r="32" spans="1:12" ht="18" customHeight="1" x14ac:dyDescent="0.35">
      <c r="A32" s="2" t="s">
        <v>100</v>
      </c>
      <c r="B32" s="3" t="s">
        <v>75</v>
      </c>
      <c r="C32" s="2" t="s">
        <v>20</v>
      </c>
      <c r="D32" s="2" t="s">
        <v>101</v>
      </c>
      <c r="E32" s="4">
        <v>1200</v>
      </c>
      <c r="F32" s="5">
        <v>45734</v>
      </c>
      <c r="G32" s="5"/>
      <c r="H32" s="6">
        <f t="shared" si="0"/>
        <v>-45734</v>
      </c>
      <c r="I32" s="2" t="s">
        <v>32</v>
      </c>
      <c r="J32" s="15" t="s">
        <v>77</v>
      </c>
      <c r="K32" s="16" t="s">
        <v>78</v>
      </c>
      <c r="L32" s="17" t="s">
        <v>79</v>
      </c>
    </row>
    <row r="33" spans="1:12" ht="18" customHeight="1" x14ac:dyDescent="0.35">
      <c r="A33" s="9" t="s">
        <v>102</v>
      </c>
      <c r="B33" s="10" t="s">
        <v>13</v>
      </c>
      <c r="C33" s="9" t="s">
        <v>14</v>
      </c>
      <c r="D33" s="9" t="s">
        <v>103</v>
      </c>
      <c r="E33" s="11">
        <v>8500</v>
      </c>
      <c r="F33" s="12">
        <v>45734</v>
      </c>
      <c r="G33" s="12"/>
      <c r="H33" s="13">
        <f t="shared" si="0"/>
        <v>-45734</v>
      </c>
      <c r="I33" s="9" t="s">
        <v>32</v>
      </c>
      <c r="J33" s="15" t="s">
        <v>77</v>
      </c>
      <c r="K33" s="18" t="s">
        <v>92</v>
      </c>
      <c r="L33" s="19" t="s">
        <v>93</v>
      </c>
    </row>
    <row r="34" spans="1:12" ht="18" customHeight="1" x14ac:dyDescent="0.35">
      <c r="A34" s="2" t="s">
        <v>104</v>
      </c>
      <c r="B34" s="3" t="s">
        <v>105</v>
      </c>
      <c r="C34" s="2" t="s">
        <v>20</v>
      </c>
      <c r="D34" s="2" t="s">
        <v>106</v>
      </c>
      <c r="E34" s="4">
        <v>750</v>
      </c>
      <c r="F34" s="5">
        <v>45736</v>
      </c>
      <c r="G34" s="5"/>
      <c r="H34" s="6">
        <f t="shared" si="0"/>
        <v>-45736</v>
      </c>
      <c r="I34" s="2" t="s">
        <v>32</v>
      </c>
      <c r="J34" s="20" t="s">
        <v>107</v>
      </c>
      <c r="K34" s="8"/>
      <c r="L34" s="8"/>
    </row>
    <row r="35" spans="1:12" ht="18" customHeight="1" x14ac:dyDescent="0.35">
      <c r="A35" s="9" t="s">
        <v>108</v>
      </c>
      <c r="B35" s="10" t="s">
        <v>61</v>
      </c>
      <c r="C35" s="9" t="s">
        <v>14</v>
      </c>
      <c r="D35" s="9" t="s">
        <v>109</v>
      </c>
      <c r="E35" s="11">
        <v>3200</v>
      </c>
      <c r="F35" s="12">
        <v>45735</v>
      </c>
      <c r="G35" s="12"/>
      <c r="H35" s="13">
        <f t="shared" si="0"/>
        <v>-45735</v>
      </c>
      <c r="I35" s="9" t="s">
        <v>22</v>
      </c>
      <c r="J35" s="20" t="s">
        <v>107</v>
      </c>
      <c r="K35" s="14"/>
      <c r="L35" s="14"/>
    </row>
    <row r="36" spans="1:12" ht="18" customHeight="1" x14ac:dyDescent="0.35">
      <c r="A36" s="2" t="s">
        <v>110</v>
      </c>
      <c r="B36" s="3" t="s">
        <v>61</v>
      </c>
      <c r="C36" s="2" t="s">
        <v>14</v>
      </c>
      <c r="D36" s="2" t="s">
        <v>111</v>
      </c>
      <c r="E36" s="4">
        <v>1800</v>
      </c>
      <c r="F36" s="5">
        <v>45742</v>
      </c>
      <c r="G36" s="5"/>
      <c r="H36" s="6">
        <f t="shared" si="0"/>
        <v>-45742</v>
      </c>
      <c r="I36" s="2" t="s">
        <v>29</v>
      </c>
      <c r="J36" s="20" t="s">
        <v>107</v>
      </c>
      <c r="K36" s="8"/>
      <c r="L36" s="8"/>
    </row>
    <row r="37" spans="1:12" ht="18" customHeight="1" x14ac:dyDescent="0.35">
      <c r="A37" s="9" t="s">
        <v>112</v>
      </c>
      <c r="B37" s="10" t="s">
        <v>58</v>
      </c>
      <c r="C37" s="9" t="s">
        <v>14</v>
      </c>
      <c r="D37" s="9" t="s">
        <v>113</v>
      </c>
      <c r="E37" s="11">
        <v>2500</v>
      </c>
      <c r="F37" s="12">
        <v>45732</v>
      </c>
      <c r="G37" s="12"/>
      <c r="H37" s="13">
        <f t="shared" si="0"/>
        <v>-45732</v>
      </c>
      <c r="I37" s="9" t="s">
        <v>16</v>
      </c>
      <c r="J37" s="20" t="s">
        <v>107</v>
      </c>
      <c r="K37" s="14"/>
      <c r="L37" s="14"/>
    </row>
    <row r="38" spans="1:12" ht="18" customHeight="1" x14ac:dyDescent="0.35">
      <c r="A38" s="2" t="s">
        <v>114</v>
      </c>
      <c r="B38" s="3" t="s">
        <v>115</v>
      </c>
      <c r="C38" s="2" t="s">
        <v>20</v>
      </c>
      <c r="D38" s="2" t="s">
        <v>116</v>
      </c>
      <c r="E38" s="4">
        <v>4500</v>
      </c>
      <c r="F38" s="5">
        <v>45731</v>
      </c>
      <c r="G38" s="5"/>
      <c r="H38" s="6">
        <f t="shared" si="0"/>
        <v>-45731</v>
      </c>
      <c r="I38" s="2" t="s">
        <v>16</v>
      </c>
      <c r="J38" s="20" t="s">
        <v>107</v>
      </c>
      <c r="K38" s="8"/>
      <c r="L38" s="8"/>
    </row>
    <row r="39" spans="1:12" ht="18" customHeight="1" x14ac:dyDescent="0.35">
      <c r="A39" s="9" t="s">
        <v>117</v>
      </c>
      <c r="B39" s="10" t="s">
        <v>105</v>
      </c>
      <c r="C39" s="9" t="s">
        <v>20</v>
      </c>
      <c r="D39" s="9" t="s">
        <v>118</v>
      </c>
      <c r="E39" s="11">
        <v>1800</v>
      </c>
      <c r="F39" s="12">
        <v>45726</v>
      </c>
      <c r="G39" s="12"/>
      <c r="H39" s="13">
        <f t="shared" si="0"/>
        <v>-45726</v>
      </c>
      <c r="I39" s="9" t="s">
        <v>22</v>
      </c>
      <c r="J39" s="20" t="s">
        <v>107</v>
      </c>
      <c r="K39" s="14"/>
      <c r="L39" s="14"/>
    </row>
    <row r="40" spans="1:12" ht="18" customHeight="1" x14ac:dyDescent="0.35">
      <c r="A40" s="2" t="s">
        <v>119</v>
      </c>
      <c r="B40" s="3" t="s">
        <v>58</v>
      </c>
      <c r="C40" s="2" t="s">
        <v>14</v>
      </c>
      <c r="D40" s="2" t="s">
        <v>120</v>
      </c>
      <c r="E40" s="4">
        <v>6000</v>
      </c>
      <c r="F40" s="5">
        <v>45736</v>
      </c>
      <c r="G40" s="5"/>
      <c r="H40" s="6">
        <f t="shared" si="0"/>
        <v>-45736</v>
      </c>
      <c r="I40" s="2" t="s">
        <v>29</v>
      </c>
      <c r="J40" s="20" t="s">
        <v>107</v>
      </c>
      <c r="K40" s="8"/>
      <c r="L40" s="8"/>
    </row>
    <row r="41" spans="1:12" ht="18" customHeight="1" x14ac:dyDescent="0.35">
      <c r="A41" s="9" t="s">
        <v>121</v>
      </c>
      <c r="B41" s="10" t="s">
        <v>19</v>
      </c>
      <c r="C41" s="9" t="s">
        <v>20</v>
      </c>
      <c r="D41" s="9" t="s">
        <v>122</v>
      </c>
      <c r="E41" s="11">
        <v>8500</v>
      </c>
      <c r="F41" s="12">
        <v>45725</v>
      </c>
      <c r="G41" s="12"/>
      <c r="H41" s="13">
        <f t="shared" si="0"/>
        <v>-45725</v>
      </c>
      <c r="I41" s="9" t="s">
        <v>22</v>
      </c>
      <c r="J41" s="20" t="s">
        <v>107</v>
      </c>
      <c r="K41" s="14"/>
      <c r="L41" s="14"/>
    </row>
    <row r="42" spans="1:12" ht="18" customHeight="1" x14ac:dyDescent="0.35">
      <c r="A42" s="2" t="s">
        <v>123</v>
      </c>
      <c r="B42" s="3" t="s">
        <v>19</v>
      </c>
      <c r="C42" s="2" t="s">
        <v>20</v>
      </c>
      <c r="D42" s="2" t="s">
        <v>124</v>
      </c>
      <c r="E42" s="4">
        <v>3200</v>
      </c>
      <c r="F42" s="5">
        <v>45743</v>
      </c>
      <c r="G42" s="5"/>
      <c r="H42" s="6">
        <f t="shared" si="0"/>
        <v>-45743</v>
      </c>
      <c r="I42" s="2" t="s">
        <v>32</v>
      </c>
      <c r="J42" s="21" t="s">
        <v>125</v>
      </c>
      <c r="K42" s="8"/>
      <c r="L42" s="8"/>
    </row>
    <row r="43" spans="1:12" ht="18" customHeight="1" x14ac:dyDescent="0.35">
      <c r="A43" s="9" t="s">
        <v>126</v>
      </c>
      <c r="B43" s="10" t="s">
        <v>75</v>
      </c>
      <c r="C43" s="9" t="s">
        <v>20</v>
      </c>
      <c r="D43" s="9" t="s">
        <v>127</v>
      </c>
      <c r="E43" s="11">
        <v>500</v>
      </c>
      <c r="F43" s="12">
        <v>45736</v>
      </c>
      <c r="G43" s="12"/>
      <c r="H43" s="13">
        <f t="shared" si="0"/>
        <v>-45736</v>
      </c>
      <c r="I43" s="9" t="s">
        <v>22</v>
      </c>
      <c r="J43" s="21" t="s">
        <v>125</v>
      </c>
      <c r="K43" s="14"/>
      <c r="L43" s="14"/>
    </row>
    <row r="44" spans="1:12" ht="19.5" customHeight="1" x14ac:dyDescent="0.35">
      <c r="A44" s="49" t="s">
        <v>128</v>
      </c>
      <c r="B44" s="49"/>
      <c r="C44" s="49"/>
      <c r="D44" s="49"/>
      <c r="E44" s="22">
        <f>SUM(E4:E43)</f>
        <v>123200</v>
      </c>
      <c r="F44" s="23"/>
      <c r="G44" s="23"/>
      <c r="H44" s="23"/>
      <c r="I44" s="23"/>
      <c r="J44" s="23"/>
      <c r="K44" s="23"/>
      <c r="L44" s="23"/>
    </row>
  </sheetData>
  <mergeCells count="3">
    <mergeCell ref="A1:L1"/>
    <mergeCell ref="A2:L2"/>
    <mergeCell ref="A44:D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0006"/>
  </sheetPr>
  <dimension ref="A1:J18"/>
  <sheetViews>
    <sheetView showGridLines="0" zoomScale="73" zoomScaleNormal="100" workbookViewId="0">
      <selection sqref="A1:J1"/>
    </sheetView>
  </sheetViews>
  <sheetFormatPr defaultColWidth="8.6328125" defaultRowHeight="14.5" x14ac:dyDescent="0.35"/>
  <cols>
    <col min="1" max="1" width="14" customWidth="1"/>
    <col min="2" max="2" width="22" customWidth="1"/>
    <col min="3" max="3" width="13" customWidth="1"/>
    <col min="4" max="4" width="12" customWidth="1"/>
    <col min="5" max="5" width="26" customWidth="1"/>
    <col min="6" max="6" width="10" customWidth="1"/>
    <col min="7" max="7" width="32" customWidth="1"/>
    <col min="8" max="9" width="16" customWidth="1"/>
    <col min="10" max="10" width="12" customWidth="1"/>
  </cols>
  <sheetData>
    <row r="1" spans="1:10" ht="27.75" customHeight="1" x14ac:dyDescent="0.35">
      <c r="A1" s="50" t="s">
        <v>209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5.75" customHeight="1" x14ac:dyDescent="0.35">
      <c r="A2" s="51" t="s">
        <v>129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ht="24" customHeight="1" x14ac:dyDescent="0.35">
      <c r="A3" s="24" t="s">
        <v>0</v>
      </c>
      <c r="B3" s="24" t="s">
        <v>130</v>
      </c>
      <c r="C3" s="24" t="s">
        <v>131</v>
      </c>
      <c r="D3" s="24" t="s">
        <v>5</v>
      </c>
      <c r="E3" s="24" t="s">
        <v>10</v>
      </c>
      <c r="F3" s="24" t="s">
        <v>132</v>
      </c>
      <c r="G3" s="24" t="s">
        <v>133</v>
      </c>
      <c r="H3" s="24" t="s">
        <v>134</v>
      </c>
      <c r="I3" s="24" t="s">
        <v>135</v>
      </c>
      <c r="J3" s="24" t="s">
        <v>9</v>
      </c>
    </row>
    <row r="4" spans="1:10" ht="21.75" customHeight="1" x14ac:dyDescent="0.35">
      <c r="A4" s="25" t="str">
        <f>'1_Payment_Log'!A26</f>
        <v>PAY-2025-122</v>
      </c>
      <c r="B4" s="26" t="str">
        <f>'1_Payment_Log'!B26</f>
        <v>Travel Agency Pro</v>
      </c>
      <c r="C4" s="27">
        <f>'1_Payment_Log'!E26</f>
        <v>3200</v>
      </c>
      <c r="D4" s="28">
        <f>'1_Payment_Log'!F26</f>
        <v>45743</v>
      </c>
      <c r="E4" s="29" t="s">
        <v>78</v>
      </c>
      <c r="F4" s="20" t="s">
        <v>136</v>
      </c>
      <c r="G4" s="30" t="s">
        <v>137</v>
      </c>
      <c r="H4" s="2" t="s">
        <v>138</v>
      </c>
      <c r="I4" s="31" t="s">
        <v>139</v>
      </c>
      <c r="J4" s="15" t="s">
        <v>140</v>
      </c>
    </row>
    <row r="5" spans="1:10" ht="21.75" customHeight="1" x14ac:dyDescent="0.35">
      <c r="A5" s="32" t="str">
        <f>'1_Payment_Log'!A27</f>
        <v>PAY-2025-123</v>
      </c>
      <c r="B5" s="33" t="str">
        <f>'1_Payment_Log'!B27</f>
        <v>Legal Services LLP</v>
      </c>
      <c r="C5" s="34">
        <f>'1_Payment_Log'!E27</f>
        <v>2500</v>
      </c>
      <c r="D5" s="35">
        <f>'1_Payment_Log'!F27</f>
        <v>45731</v>
      </c>
      <c r="E5" s="29" t="s">
        <v>83</v>
      </c>
      <c r="F5" s="20" t="s">
        <v>136</v>
      </c>
      <c r="G5" s="30" t="s">
        <v>141</v>
      </c>
      <c r="H5" s="9" t="s">
        <v>138</v>
      </c>
      <c r="I5" s="31" t="s">
        <v>139</v>
      </c>
      <c r="J5" s="15" t="s">
        <v>140</v>
      </c>
    </row>
    <row r="6" spans="1:10" ht="21.75" customHeight="1" x14ac:dyDescent="0.35">
      <c r="A6" s="25" t="str">
        <f>'1_Payment_Log'!A28</f>
        <v>PAY-2025-124</v>
      </c>
      <c r="B6" s="26" t="str">
        <f>'1_Payment_Log'!B28</f>
        <v>Tom Wilson (T&amp;E)</v>
      </c>
      <c r="C6" s="27">
        <f>'1_Payment_Log'!E28</f>
        <v>6000</v>
      </c>
      <c r="D6" s="28">
        <f>'1_Payment_Log'!F28</f>
        <v>45724</v>
      </c>
      <c r="E6" s="29" t="s">
        <v>88</v>
      </c>
      <c r="F6" s="21" t="s">
        <v>142</v>
      </c>
      <c r="G6" s="30" t="s">
        <v>143</v>
      </c>
      <c r="H6" s="2" t="s">
        <v>138</v>
      </c>
      <c r="I6" s="31" t="s">
        <v>139</v>
      </c>
      <c r="J6" s="15" t="s">
        <v>140</v>
      </c>
    </row>
    <row r="7" spans="1:10" ht="21.75" customHeight="1" x14ac:dyDescent="0.35">
      <c r="A7" s="32" t="str">
        <f>'1_Payment_Log'!A29</f>
        <v>PAY-2025-125</v>
      </c>
      <c r="B7" s="33" t="str">
        <f>'1_Payment_Log'!B29</f>
        <v>TechSupplies Ltd</v>
      </c>
      <c r="C7" s="34">
        <f>'1_Payment_Log'!E29</f>
        <v>3200</v>
      </c>
      <c r="D7" s="35">
        <f>'1_Payment_Log'!F29</f>
        <v>45740</v>
      </c>
      <c r="E7" s="29" t="s">
        <v>92</v>
      </c>
      <c r="F7" s="21" t="s">
        <v>142</v>
      </c>
      <c r="G7" s="30" t="s">
        <v>144</v>
      </c>
      <c r="H7" s="9" t="s">
        <v>138</v>
      </c>
      <c r="I7" s="31" t="s">
        <v>139</v>
      </c>
      <c r="J7" s="15" t="s">
        <v>140</v>
      </c>
    </row>
    <row r="8" spans="1:10" ht="21.75" customHeight="1" x14ac:dyDescent="0.35">
      <c r="A8" s="25" t="str">
        <f>'1_Payment_Log'!A30</f>
        <v>PAY-2025-126</v>
      </c>
      <c r="B8" s="26" t="str">
        <f>'1_Payment_Log'!B30</f>
        <v>Travel Agency Pro</v>
      </c>
      <c r="C8" s="27">
        <f>'1_Payment_Log'!E30</f>
        <v>4500</v>
      </c>
      <c r="D8" s="28">
        <f>'1_Payment_Log'!F30</f>
        <v>45741</v>
      </c>
      <c r="E8" s="29" t="s">
        <v>96</v>
      </c>
      <c r="F8" s="21" t="s">
        <v>142</v>
      </c>
      <c r="G8" s="30" t="s">
        <v>145</v>
      </c>
      <c r="H8" s="2" t="s">
        <v>138</v>
      </c>
      <c r="I8" s="31" t="s">
        <v>139</v>
      </c>
      <c r="J8" s="15" t="s">
        <v>140</v>
      </c>
    </row>
    <row r="9" spans="1:10" ht="21.75" customHeight="1" x14ac:dyDescent="0.35">
      <c r="A9" s="32" t="str">
        <f>'1_Payment_Log'!A31</f>
        <v>PAY-2025-127</v>
      </c>
      <c r="B9" s="33" t="str">
        <f>'1_Payment_Log'!B31</f>
        <v>John Smith (T&amp;E)</v>
      </c>
      <c r="C9" s="34">
        <f>'1_Payment_Log'!E31</f>
        <v>750</v>
      </c>
      <c r="D9" s="35">
        <f>'1_Payment_Log'!F31</f>
        <v>45734</v>
      </c>
      <c r="E9" s="29" t="s">
        <v>96</v>
      </c>
      <c r="F9" s="21" t="s">
        <v>142</v>
      </c>
      <c r="G9" s="30" t="s">
        <v>145</v>
      </c>
      <c r="H9" s="9" t="s">
        <v>138</v>
      </c>
      <c r="I9" s="31" t="s">
        <v>139</v>
      </c>
      <c r="J9" s="15" t="s">
        <v>140</v>
      </c>
    </row>
    <row r="10" spans="1:10" ht="21.75" customHeight="1" x14ac:dyDescent="0.35">
      <c r="A10" s="25" t="str">
        <f>'1_Payment_Log'!A32</f>
        <v>PAY-2025-128</v>
      </c>
      <c r="B10" s="26" t="str">
        <f>'1_Payment_Log'!B32</f>
        <v>Travel Agency Pro</v>
      </c>
      <c r="C10" s="27">
        <f>'1_Payment_Log'!E32</f>
        <v>1200</v>
      </c>
      <c r="D10" s="28">
        <f>'1_Payment_Log'!F32</f>
        <v>45734</v>
      </c>
      <c r="E10" s="29" t="s">
        <v>78</v>
      </c>
      <c r="F10" s="20" t="s">
        <v>136</v>
      </c>
      <c r="G10" s="30" t="s">
        <v>137</v>
      </c>
      <c r="H10" s="2" t="s">
        <v>138</v>
      </c>
      <c r="I10" s="31" t="s">
        <v>139</v>
      </c>
      <c r="J10" s="15" t="s">
        <v>140</v>
      </c>
    </row>
    <row r="11" spans="1:10" ht="21.75" customHeight="1" x14ac:dyDescent="0.35">
      <c r="A11" s="32" t="str">
        <f>'1_Payment_Log'!A33</f>
        <v>PAY-2025-129</v>
      </c>
      <c r="B11" s="33" t="str">
        <f>'1_Payment_Log'!B33</f>
        <v>Sarah Jones (T&amp;E)</v>
      </c>
      <c r="C11" s="34">
        <f>'1_Payment_Log'!E33</f>
        <v>8500</v>
      </c>
      <c r="D11" s="35">
        <f>'1_Payment_Log'!F33</f>
        <v>45734</v>
      </c>
      <c r="E11" s="29" t="s">
        <v>92</v>
      </c>
      <c r="F11" s="21" t="s">
        <v>142</v>
      </c>
      <c r="G11" s="30" t="s">
        <v>144</v>
      </c>
      <c r="H11" s="9" t="s">
        <v>138</v>
      </c>
      <c r="I11" s="31" t="s">
        <v>139</v>
      </c>
      <c r="J11" s="15" t="s">
        <v>140</v>
      </c>
    </row>
    <row r="14" spans="1:10" x14ac:dyDescent="0.35">
      <c r="A14" s="52" t="s">
        <v>146</v>
      </c>
      <c r="B14" s="52"/>
      <c r="C14" s="52"/>
      <c r="D14" s="52"/>
      <c r="E14" s="52"/>
      <c r="F14" s="52"/>
      <c r="G14" s="52"/>
      <c r="H14" s="52"/>
      <c r="I14" s="52"/>
      <c r="J14" s="52"/>
    </row>
    <row r="15" spans="1:10" x14ac:dyDescent="0.35">
      <c r="A15" s="53" t="s">
        <v>147</v>
      </c>
      <c r="B15" s="53"/>
      <c r="C15" s="53"/>
      <c r="D15" s="53"/>
      <c r="E15" s="53"/>
      <c r="F15" s="54">
        <f>COUNTIF('1_Payment_Log'!J:J,"Failed")</f>
        <v>8</v>
      </c>
      <c r="G15" s="54"/>
      <c r="H15" s="54"/>
      <c r="I15" s="54"/>
      <c r="J15" s="54"/>
    </row>
    <row r="16" spans="1:10" x14ac:dyDescent="0.35">
      <c r="A16" s="53" t="s">
        <v>148</v>
      </c>
      <c r="B16" s="53"/>
      <c r="C16" s="53"/>
      <c r="D16" s="53"/>
      <c r="E16" s="53"/>
      <c r="F16" s="55">
        <f>SUMIF('1_Payment_Log'!J:J,"Failed",'1_Payment_Log'!E:E)</f>
        <v>29850</v>
      </c>
      <c r="G16" s="55"/>
      <c r="H16" s="55"/>
      <c r="I16" s="55"/>
      <c r="J16" s="55"/>
    </row>
    <row r="17" spans="1:10" x14ac:dyDescent="0.35">
      <c r="A17" s="53" t="s">
        <v>149</v>
      </c>
      <c r="B17" s="53"/>
      <c r="C17" s="53"/>
      <c r="D17" s="53"/>
      <c r="E17" s="53"/>
      <c r="F17" s="54">
        <f>COUNTIF(F4:F11,"CRITICAL")</f>
        <v>0</v>
      </c>
      <c r="G17" s="54"/>
      <c r="H17" s="54"/>
      <c r="I17" s="54"/>
      <c r="J17" s="54"/>
    </row>
    <row r="18" spans="1:10" x14ac:dyDescent="0.35">
      <c r="A18" s="53" t="s">
        <v>150</v>
      </c>
      <c r="B18" s="53"/>
      <c r="C18" s="53"/>
      <c r="D18" s="53"/>
      <c r="E18" s="53"/>
      <c r="F18" s="54">
        <f>COUNTIF(F4:F11,"HIGH")</f>
        <v>5</v>
      </c>
      <c r="G18" s="54"/>
      <c r="H18" s="54"/>
      <c r="I18" s="54"/>
      <c r="J18" s="54"/>
    </row>
  </sheetData>
  <mergeCells count="11">
    <mergeCell ref="A16:E16"/>
    <mergeCell ref="F16:J16"/>
    <mergeCell ref="A17:E17"/>
    <mergeCell ref="F17:J17"/>
    <mergeCell ref="A18:E18"/>
    <mergeCell ref="F18:J18"/>
    <mergeCell ref="A1:J1"/>
    <mergeCell ref="A2:J2"/>
    <mergeCell ref="A14:J14"/>
    <mergeCell ref="A15:E15"/>
    <mergeCell ref="F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896"/>
  </sheetPr>
  <dimension ref="A1:H17"/>
  <sheetViews>
    <sheetView showGridLines="0" zoomScaleNormal="100" workbookViewId="0">
      <selection activeCell="J9" sqref="J9"/>
    </sheetView>
  </sheetViews>
  <sheetFormatPr defaultColWidth="8.6328125" defaultRowHeight="14.5" x14ac:dyDescent="0.35"/>
  <cols>
    <col min="1" max="1" width="24" customWidth="1"/>
    <col min="2" max="2" width="14" customWidth="1"/>
    <col min="3" max="3" width="16" customWidth="1"/>
    <col min="4" max="4" width="12" customWidth="1"/>
    <col min="5" max="5" width="4" customWidth="1"/>
    <col min="6" max="6" width="24" customWidth="1"/>
    <col min="7" max="7" width="18" customWidth="1"/>
    <col min="8" max="8" width="4" customWidth="1"/>
  </cols>
  <sheetData>
    <row r="1" spans="1:8" ht="27.75" customHeight="1" x14ac:dyDescent="0.35">
      <c r="A1" s="50" t="s">
        <v>210</v>
      </c>
      <c r="B1" s="50"/>
      <c r="C1" s="50"/>
      <c r="D1" s="50"/>
      <c r="E1" s="50"/>
      <c r="F1" s="50"/>
      <c r="G1" s="50"/>
      <c r="H1" s="50"/>
    </row>
    <row r="2" spans="1:8" ht="15.75" customHeight="1" x14ac:dyDescent="0.35">
      <c r="A2" s="48" t="s">
        <v>151</v>
      </c>
      <c r="B2" s="48"/>
      <c r="C2" s="48"/>
      <c r="D2" s="48"/>
      <c r="E2" s="48"/>
      <c r="F2" s="48"/>
      <c r="G2" s="48"/>
      <c r="H2" s="48"/>
    </row>
    <row r="4" spans="1:8" x14ac:dyDescent="0.35">
      <c r="A4" s="56" t="s">
        <v>152</v>
      </c>
      <c r="B4" s="56"/>
      <c r="C4" s="56"/>
      <c r="D4" s="56"/>
      <c r="F4" s="52" t="s">
        <v>153</v>
      </c>
      <c r="G4" s="52"/>
      <c r="H4" s="52"/>
    </row>
    <row r="5" spans="1:8" ht="23" x14ac:dyDescent="0.35">
      <c r="A5" s="1" t="s">
        <v>154</v>
      </c>
      <c r="B5" s="1" t="s">
        <v>155</v>
      </c>
      <c r="C5" s="1" t="s">
        <v>156</v>
      </c>
      <c r="D5" s="1" t="s">
        <v>157</v>
      </c>
      <c r="F5" s="36" t="s">
        <v>158</v>
      </c>
      <c r="G5" s="57" t="s">
        <v>48</v>
      </c>
      <c r="H5" s="57"/>
    </row>
    <row r="6" spans="1:8" x14ac:dyDescent="0.35">
      <c r="A6" s="3" t="s">
        <v>48</v>
      </c>
      <c r="B6" s="2" t="s">
        <v>159</v>
      </c>
      <c r="C6" s="2" t="s">
        <v>160</v>
      </c>
      <c r="D6" s="2" t="s">
        <v>161</v>
      </c>
      <c r="F6" s="37" t="s">
        <v>155</v>
      </c>
      <c r="G6" s="58" t="str">
        <f>IFERROR(VLOOKUP(G5,A6:D17,2,FALSE()),"Not Found")</f>
        <v>20-11-33</v>
      </c>
      <c r="H6" s="58"/>
    </row>
    <row r="7" spans="1:8" x14ac:dyDescent="0.35">
      <c r="A7" s="10" t="s">
        <v>19</v>
      </c>
      <c r="B7" s="9" t="s">
        <v>162</v>
      </c>
      <c r="C7" s="9" t="s">
        <v>163</v>
      </c>
      <c r="D7" s="9" t="s">
        <v>164</v>
      </c>
      <c r="F7" s="37" t="s">
        <v>156</v>
      </c>
      <c r="G7" s="58" t="str">
        <f>IFERROR(VLOOKUP(G5,A6:D17,3,FALSE()),"Not Found")</f>
        <v>31245678</v>
      </c>
      <c r="H7" s="58"/>
    </row>
    <row r="8" spans="1:8" x14ac:dyDescent="0.35">
      <c r="A8" s="3" t="s">
        <v>55</v>
      </c>
      <c r="B8" s="2" t="s">
        <v>165</v>
      </c>
      <c r="C8" s="2" t="s">
        <v>166</v>
      </c>
      <c r="D8" s="2" t="s">
        <v>161</v>
      </c>
      <c r="F8" s="37" t="s">
        <v>157</v>
      </c>
      <c r="G8" s="58" t="str">
        <f>IFERROR(VLOOKUP(G5,A6:D17,4,FALSE()),"Not Found")</f>
        <v>Net 30</v>
      </c>
      <c r="H8" s="58"/>
    </row>
    <row r="9" spans="1:8" x14ac:dyDescent="0.35">
      <c r="A9" s="10" t="s">
        <v>167</v>
      </c>
      <c r="B9" s="9" t="s">
        <v>168</v>
      </c>
      <c r="C9" s="9" t="s">
        <v>169</v>
      </c>
      <c r="D9" s="9" t="s">
        <v>170</v>
      </c>
      <c r="F9" s="37" t="s">
        <v>171</v>
      </c>
      <c r="G9" s="60">
        <f>IFERROR(SUMIF('1_Payment_Log'!B:B,G5,'1_Payment_Log'!E:E),0)</f>
        <v>5000</v>
      </c>
      <c r="H9" s="60"/>
    </row>
    <row r="10" spans="1:8" x14ac:dyDescent="0.35">
      <c r="A10" s="3" t="s">
        <v>105</v>
      </c>
      <c r="B10" s="2" t="s">
        <v>172</v>
      </c>
      <c r="C10" s="2" t="s">
        <v>173</v>
      </c>
      <c r="D10" s="2" t="s">
        <v>174</v>
      </c>
      <c r="F10" s="37" t="s">
        <v>175</v>
      </c>
      <c r="G10" s="58">
        <f>IFERROR(COUNTIF('1_Payment_Log'!B:B,G5),0)</f>
        <v>2</v>
      </c>
      <c r="H10" s="58"/>
    </row>
    <row r="11" spans="1:8" x14ac:dyDescent="0.35">
      <c r="A11" s="10" t="s">
        <v>27</v>
      </c>
      <c r="B11" s="9" t="s">
        <v>176</v>
      </c>
      <c r="C11" s="9" t="s">
        <v>177</v>
      </c>
      <c r="D11" s="9" t="s">
        <v>161</v>
      </c>
      <c r="F11" s="37" t="s">
        <v>178</v>
      </c>
      <c r="G11" s="58">
        <f>IFERROR(COUNTIFS('1_Payment_Log'!B:B,G5,'1_Payment_Log'!J:J,"Failed"),0)</f>
        <v>1</v>
      </c>
      <c r="H11" s="58"/>
    </row>
    <row r="12" spans="1:8" x14ac:dyDescent="0.35">
      <c r="A12" s="3" t="s">
        <v>81</v>
      </c>
      <c r="B12" s="2" t="s">
        <v>179</v>
      </c>
      <c r="C12" s="2" t="s">
        <v>180</v>
      </c>
      <c r="D12" s="2" t="s">
        <v>161</v>
      </c>
    </row>
    <row r="13" spans="1:8" x14ac:dyDescent="0.35">
      <c r="A13" s="10" t="s">
        <v>115</v>
      </c>
      <c r="B13" s="9" t="s">
        <v>181</v>
      </c>
      <c r="C13" s="9" t="s">
        <v>182</v>
      </c>
      <c r="D13" s="9" t="s">
        <v>164</v>
      </c>
      <c r="F13" s="59" t="s">
        <v>183</v>
      </c>
      <c r="G13" s="59"/>
      <c r="H13" s="59"/>
    </row>
    <row r="14" spans="1:8" x14ac:dyDescent="0.35">
      <c r="A14" s="3" t="s">
        <v>37</v>
      </c>
      <c r="B14" s="2" t="s">
        <v>184</v>
      </c>
      <c r="C14" s="2" t="s">
        <v>185</v>
      </c>
      <c r="D14" s="2" t="s">
        <v>161</v>
      </c>
    </row>
    <row r="15" spans="1:8" x14ac:dyDescent="0.35">
      <c r="A15" s="10" t="s">
        <v>24</v>
      </c>
      <c r="B15" s="9" t="s">
        <v>186</v>
      </c>
      <c r="C15" s="9" t="s">
        <v>187</v>
      </c>
      <c r="D15" s="9" t="s">
        <v>170</v>
      </c>
    </row>
    <row r="16" spans="1:8" x14ac:dyDescent="0.35">
      <c r="A16" s="3" t="s">
        <v>75</v>
      </c>
      <c r="B16" s="2" t="s">
        <v>188</v>
      </c>
      <c r="C16" s="2" t="s">
        <v>189</v>
      </c>
      <c r="D16" s="2" t="s">
        <v>161</v>
      </c>
    </row>
    <row r="17" spans="1:4" x14ac:dyDescent="0.35">
      <c r="A17" s="10" t="s">
        <v>70</v>
      </c>
      <c r="B17" s="9" t="s">
        <v>190</v>
      </c>
      <c r="C17" s="9" t="s">
        <v>191</v>
      </c>
      <c r="D17" s="9" t="s">
        <v>164</v>
      </c>
    </row>
  </sheetData>
  <mergeCells count="12">
    <mergeCell ref="G11:H11"/>
    <mergeCell ref="F13:H13"/>
    <mergeCell ref="G6:H6"/>
    <mergeCell ref="G7:H7"/>
    <mergeCell ref="G8:H8"/>
    <mergeCell ref="G9:H9"/>
    <mergeCell ref="G10:H10"/>
    <mergeCell ref="A1:H1"/>
    <mergeCell ref="A2:H2"/>
    <mergeCell ref="A4:D4"/>
    <mergeCell ref="F4:H4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3"/>
  </sheetPr>
  <dimension ref="A1:K35"/>
  <sheetViews>
    <sheetView showGridLines="0" topLeftCell="A2" zoomScale="94" zoomScaleNormal="100" workbookViewId="0">
      <selection sqref="A1:K1"/>
    </sheetView>
  </sheetViews>
  <sheetFormatPr defaultColWidth="8.6328125" defaultRowHeight="14.5" x14ac:dyDescent="0.35"/>
  <cols>
    <col min="1" max="2" width="14" customWidth="1"/>
    <col min="3" max="3" width="4" customWidth="1"/>
    <col min="4" max="4" width="22" customWidth="1"/>
    <col min="5" max="5" width="16" customWidth="1"/>
    <col min="6" max="6" width="12" customWidth="1"/>
    <col min="7" max="7" width="4" customWidth="1"/>
    <col min="8" max="8" width="14" customWidth="1"/>
    <col min="9" max="9" width="4" customWidth="1"/>
    <col min="10" max="10" width="14" customWidth="1"/>
    <col min="11" max="11" width="4" customWidth="1"/>
  </cols>
  <sheetData>
    <row r="1" spans="1:11" ht="30" customHeight="1" x14ac:dyDescent="0.35">
      <c r="A1" s="50" t="s">
        <v>211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35">
      <c r="A2" s="56" t="s">
        <v>192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8" customHeight="1" x14ac:dyDescent="0.35">
      <c r="A3" s="61" t="s">
        <v>193</v>
      </c>
      <c r="B3" s="61"/>
      <c r="C3" s="62" t="s">
        <v>194</v>
      </c>
      <c r="D3" s="62"/>
      <c r="E3" s="63" t="s">
        <v>195</v>
      </c>
      <c r="F3" s="63"/>
      <c r="G3" s="64" t="s">
        <v>196</v>
      </c>
      <c r="H3" s="64"/>
      <c r="I3" s="65" t="s">
        <v>197</v>
      </c>
      <c r="J3" s="65"/>
    </row>
    <row r="4" spans="1:11" ht="18" customHeight="1" x14ac:dyDescent="0.35">
      <c r="A4" s="61"/>
      <c r="B4" s="61"/>
      <c r="C4" s="62"/>
      <c r="D4" s="62"/>
      <c r="E4" s="63"/>
      <c r="F4" s="63"/>
      <c r="G4" s="64"/>
      <c r="H4" s="64"/>
      <c r="I4" s="65"/>
      <c r="J4" s="65"/>
    </row>
    <row r="5" spans="1:11" ht="24" customHeight="1" x14ac:dyDescent="0.35">
      <c r="A5" s="66">
        <f>COUNTA('1_Payment_Log'!A4:A43)</f>
        <v>40</v>
      </c>
      <c r="B5" s="66"/>
      <c r="C5" s="67">
        <f>COUNTIF('1_Payment_Log'!J:J,"Paid")</f>
        <v>22</v>
      </c>
      <c r="D5" s="67"/>
      <c r="E5" s="68">
        <f>COUNTIF('1_Payment_Log'!J:J,"Pending")</f>
        <v>8</v>
      </c>
      <c r="F5" s="68"/>
      <c r="G5" s="69">
        <f>COUNTIF('1_Payment_Log'!J:J,"Failed")</f>
        <v>8</v>
      </c>
      <c r="H5" s="69"/>
      <c r="I5" s="70">
        <f>SUM('1_Payment_Log'!E4:E43)</f>
        <v>123200</v>
      </c>
      <c r="J5" s="70"/>
    </row>
    <row r="6" spans="1:11" ht="24" customHeight="1" x14ac:dyDescent="0.35">
      <c r="A6" s="66"/>
      <c r="B6" s="66"/>
      <c r="C6" s="67"/>
      <c r="D6" s="67"/>
      <c r="E6" s="68"/>
      <c r="F6" s="68"/>
      <c r="G6" s="69"/>
      <c r="H6" s="69"/>
      <c r="I6" s="70"/>
      <c r="J6" s="70"/>
    </row>
    <row r="8" spans="1:11" x14ac:dyDescent="0.35">
      <c r="A8" s="52" t="s">
        <v>198</v>
      </c>
      <c r="B8" s="52"/>
      <c r="C8" s="52"/>
      <c r="D8" s="52"/>
      <c r="E8" s="52"/>
      <c r="F8" s="52"/>
      <c r="G8" s="52"/>
      <c r="H8" s="52"/>
      <c r="I8" s="52"/>
      <c r="J8" s="52"/>
      <c r="K8" s="52"/>
    </row>
    <row r="9" spans="1:11" x14ac:dyDescent="0.35">
      <c r="A9" s="38" t="s">
        <v>9</v>
      </c>
      <c r="B9" s="38" t="s">
        <v>199</v>
      </c>
      <c r="D9" s="38" t="s">
        <v>200</v>
      </c>
      <c r="E9" s="38" t="s">
        <v>171</v>
      </c>
      <c r="F9" s="38" t="s">
        <v>201</v>
      </c>
    </row>
    <row r="10" spans="1:11" x14ac:dyDescent="0.35">
      <c r="A10" s="7" t="s">
        <v>17</v>
      </c>
      <c r="B10" s="39">
        <f>COUNTIF('1_Payment_Log'!J:J,A10)</f>
        <v>22</v>
      </c>
      <c r="D10" s="3" t="s">
        <v>48</v>
      </c>
      <c r="E10" s="40">
        <f>SUMIF('1_Payment_Log'!B:B,D10,'1_Payment_Log'!E:E)</f>
        <v>5000</v>
      </c>
      <c r="F10" s="41">
        <f>COUNTIF('1_Payment_Log'!B:B,D10)</f>
        <v>2</v>
      </c>
    </row>
    <row r="11" spans="1:11" x14ac:dyDescent="0.35">
      <c r="A11" s="20" t="s">
        <v>107</v>
      </c>
      <c r="B11" s="42">
        <f>COUNTIF('1_Payment_Log'!J:J,A11)</f>
        <v>8</v>
      </c>
      <c r="D11" s="10" t="s">
        <v>19</v>
      </c>
      <c r="E11" s="43">
        <f>SUMIF('1_Payment_Log'!B:B,D11,'1_Payment_Log'!E:E)</f>
        <v>14200</v>
      </c>
      <c r="F11" s="44">
        <f>COUNTIF('1_Payment_Log'!B:B,D11)</f>
        <v>3</v>
      </c>
    </row>
    <row r="12" spans="1:11" x14ac:dyDescent="0.35">
      <c r="A12" s="15" t="s">
        <v>77</v>
      </c>
      <c r="B12" s="45">
        <f>COUNTIF('1_Payment_Log'!J:J,A12)</f>
        <v>8</v>
      </c>
      <c r="D12" s="3" t="s">
        <v>55</v>
      </c>
      <c r="E12" s="40">
        <f>SUMIF('1_Payment_Log'!B:B,D12,'1_Payment_Log'!E:E)</f>
        <v>4500</v>
      </c>
      <c r="F12" s="41">
        <f>COUNTIF('1_Payment_Log'!B:B,D12)</f>
        <v>1</v>
      </c>
    </row>
    <row r="13" spans="1:11" x14ac:dyDescent="0.35">
      <c r="A13" s="21" t="s">
        <v>125</v>
      </c>
      <c r="B13" s="46">
        <f>COUNTIF('1_Payment_Log'!J:J,A13)</f>
        <v>2</v>
      </c>
      <c r="D13" s="10" t="s">
        <v>167</v>
      </c>
      <c r="E13" s="43">
        <f>SUMIF('1_Payment_Log'!B:B,D13,'1_Payment_Log'!E:E)</f>
        <v>0</v>
      </c>
      <c r="F13" s="44">
        <f>COUNTIF('1_Payment_Log'!B:B,D13)</f>
        <v>0</v>
      </c>
    </row>
    <row r="14" spans="1:11" x14ac:dyDescent="0.35">
      <c r="D14" s="3" t="s">
        <v>105</v>
      </c>
      <c r="E14" s="40">
        <f>SUMIF('1_Payment_Log'!B:B,D14,'1_Payment_Log'!E:E)</f>
        <v>2550</v>
      </c>
      <c r="F14" s="41">
        <f>COUNTIF('1_Payment_Log'!B:B,D14)</f>
        <v>2</v>
      </c>
    </row>
    <row r="31" spans="1:11" x14ac:dyDescent="0.35">
      <c r="A31" s="52" t="s">
        <v>202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</row>
    <row r="32" spans="1:11" ht="18" customHeight="1" x14ac:dyDescent="0.35">
      <c r="A32" s="72" t="s">
        <v>203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</row>
    <row r="33" spans="1:11" ht="18" customHeight="1" x14ac:dyDescent="0.35">
      <c r="A33" s="71" t="s">
        <v>204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</row>
    <row r="34" spans="1:11" ht="18" customHeight="1" x14ac:dyDescent="0.35">
      <c r="A34" s="72" t="s">
        <v>205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</row>
    <row r="35" spans="1:11" ht="18" customHeight="1" x14ac:dyDescent="0.35">
      <c r="A35" s="71" t="s">
        <v>206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</row>
  </sheetData>
  <mergeCells count="18">
    <mergeCell ref="A35:K35"/>
    <mergeCell ref="A8:K8"/>
    <mergeCell ref="A31:K31"/>
    <mergeCell ref="A32:K32"/>
    <mergeCell ref="A33:K33"/>
    <mergeCell ref="A34:K34"/>
    <mergeCell ref="A5:B6"/>
    <mergeCell ref="C5:D6"/>
    <mergeCell ref="E5:F6"/>
    <mergeCell ref="G5:H6"/>
    <mergeCell ref="I5:J6"/>
    <mergeCell ref="A1:K1"/>
    <mergeCell ref="A2:K2"/>
    <mergeCell ref="A3:B4"/>
    <mergeCell ref="C3:D4"/>
    <mergeCell ref="E3:F4"/>
    <mergeCell ref="G3:H4"/>
    <mergeCell ref="I3:J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1_Payment_Log</vt:lpstr>
      <vt:lpstr>2_Failed_Payments</vt:lpstr>
      <vt:lpstr>3_Supplier_Lookup</vt:lpstr>
      <vt:lpstr>4_Dashboard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vijay shankar rai</cp:lastModifiedBy>
  <cp:revision>1</cp:revision>
  <dcterms:created xsi:type="dcterms:W3CDTF">2026-03-27T23:01:15Z</dcterms:created>
  <dcterms:modified xsi:type="dcterms:W3CDTF">2026-03-31T23:32:35Z</dcterms:modified>
  <dc:language>en-US</dc:language>
</cp:coreProperties>
</file>